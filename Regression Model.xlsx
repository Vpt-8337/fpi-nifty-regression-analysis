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erthakkar/Documents/"/>
    </mc:Choice>
  </mc:AlternateContent>
  <xr:revisionPtr revIDLastSave="0" documentId="13_ncr:1_{A38C8B0B-D62A-DB40-8DD2-760C2D2375D9}" xr6:coauthVersionLast="47" xr6:coauthVersionMax="47" xr10:uidLastSave="{00000000-0000-0000-0000-000000000000}"/>
  <bookViews>
    <workbookView xWindow="0" yWindow="600" windowWidth="28800" windowHeight="17400" xr2:uid="{8FA2463F-2CC4-C641-9CFF-281B11CEF226}"/>
  </bookViews>
  <sheets>
    <sheet name="Regression_Data" sheetId="2" r:id="rId1"/>
    <sheet name="Regression Output" sheetId="3" r:id="rId2"/>
    <sheet name="Regression_Output_V2" sheetId="5" r:id="rId3"/>
    <sheet name="Charts" sheetId="4" r:id="rId4"/>
  </sheets>
  <definedNames>
    <definedName name="_xlchart.v1.0" hidden="1">Regression_Data!$B$2:$B$62</definedName>
    <definedName name="_xlchart.v1.1" hidden="1">Regression_Data!$D$1</definedName>
    <definedName name="_xlchart.v1.2" hidden="1">Regression_Data!$D$2:$D$62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<sst xmlns="http://schemas.openxmlformats.org/spreadsheetml/2006/main" count="57" uniqueCount="28">
  <si>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Month</t>
  </si>
  <si>
    <t>FPI net flow in INR Crores</t>
  </si>
  <si>
    <t>NIFTY50_change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</si>
  <si>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</si>
  <si>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</si>
  <si>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</si>
  <si>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</si>
  <si>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</si>
  <si>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</si>
  <si>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</si>
  <si>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</si>
  <si>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</si>
  <si>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</si>
  <si>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</si>
  <si>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</si>
  <si>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</si>
  <si>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</si>
  <si>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</si>
  <si>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</si>
  <si>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</si>
  <si>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</si>
  <si>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</si>
  <si>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</si>
  <si>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</si>
  <si>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</si>
  <si>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</si>
  <si>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</si>
  <si>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CBOE 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</si>
</sst>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666666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1" fillId="0" borderId="0" xfId="0" applyNumberFormat="1" applyFont="1"/>
    <xf numFmtId="0" fontId="2" fillId="0" borderId="0" xfId="0" applyFont="1"/>
    <xf numFmtId="17" fontId="0" fillId="0" borderId="0" xfId="0" applyNumberForma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666666"/>
        <name val="Arial"/>
        <family val="2"/>
        <scheme val="none"/>
      </font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Regression_Data!$D$1</c:f>
              <c:strCache>
                <c:ptCount val="1"/>
                <c:pt idx="0">
                  <c:v>NIFTY50_change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  <c:trendlineLbl>
              <c:layout>
                <c:manualLayout>
                  <c:x val="0.12209049749842094"/>
                  <c:y val="-0.2296157357813861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 b="1"/>
                  </a:pPr>
                  <a:endParaRPr lang="en-US"/>
                </a:p>
              </c:txPr>
            </c:trendlineLbl>
          </c:trendline>
          <c:xVal>
            <c:numRef>
              <c:f>Regression_Data!$B$2:$B$62</c:f>
              <c:numCache>
                <c:formatCode>General</c:formatCode>
                <c:ptCount val="61"/>
                <c:pt idx="0">
                  <c:v>17022.64</c:v>
                </c:pt>
                <c:pt idx="1">
                  <c:v>-8835.9</c:v>
                </c:pt>
                <c:pt idx="2">
                  <c:v>-1957.8</c:v>
                </c:pt>
                <c:pt idx="3">
                  <c:v>12973.97</c:v>
                </c:pt>
                <c:pt idx="4">
                  <c:v>-7409.99</c:v>
                </c:pt>
                <c:pt idx="5">
                  <c:v>16555.95</c:v>
                </c:pt>
                <c:pt idx="6">
                  <c:v>27755.71</c:v>
                </c:pt>
                <c:pt idx="7">
                  <c:v>-12436.92</c:v>
                </c:pt>
                <c:pt idx="8">
                  <c:v>-2520.7600000000002</c:v>
                </c:pt>
                <c:pt idx="9">
                  <c:v>-29702.19</c:v>
                </c:pt>
                <c:pt idx="10">
                  <c:v>-28526.3</c:v>
                </c:pt>
                <c:pt idx="11">
                  <c:v>-38068.019999999997</c:v>
                </c:pt>
                <c:pt idx="12">
                  <c:v>-50067.58</c:v>
                </c:pt>
                <c:pt idx="13">
                  <c:v>-22688.37</c:v>
                </c:pt>
                <c:pt idx="14">
                  <c:v>-36517.86</c:v>
                </c:pt>
                <c:pt idx="15">
                  <c:v>-51422.03</c:v>
                </c:pt>
                <c:pt idx="16">
                  <c:v>1971.33</c:v>
                </c:pt>
                <c:pt idx="17">
                  <c:v>56521.1</c:v>
                </c:pt>
                <c:pt idx="18">
                  <c:v>-3955.31</c:v>
                </c:pt>
                <c:pt idx="19">
                  <c:v>-3080.12</c:v>
                </c:pt>
                <c:pt idx="20">
                  <c:v>33847.26</c:v>
                </c:pt>
                <c:pt idx="21">
                  <c:v>9170.68</c:v>
                </c:pt>
                <c:pt idx="22">
                  <c:v>-26543.75</c:v>
                </c:pt>
                <c:pt idx="23">
                  <c:v>-4139.12</c:v>
                </c:pt>
                <c:pt idx="24">
                  <c:v>5899.21</c:v>
                </c:pt>
                <c:pt idx="25">
                  <c:v>13544.79</c:v>
                </c:pt>
                <c:pt idx="26">
                  <c:v>48329.55</c:v>
                </c:pt>
                <c:pt idx="27">
                  <c:v>56257.7</c:v>
                </c:pt>
                <c:pt idx="28">
                  <c:v>47977.08</c:v>
                </c:pt>
                <c:pt idx="29">
                  <c:v>18337.82</c:v>
                </c:pt>
                <c:pt idx="30">
                  <c:v>-13810.39</c:v>
                </c:pt>
                <c:pt idx="31">
                  <c:v>-17875.46</c:v>
                </c:pt>
                <c:pt idx="32">
                  <c:v>24546.41</c:v>
                </c:pt>
                <c:pt idx="33">
                  <c:v>84537.43</c:v>
                </c:pt>
                <c:pt idx="34">
                  <c:v>-6593.34</c:v>
                </c:pt>
                <c:pt idx="35">
                  <c:v>31816.83</c:v>
                </c:pt>
                <c:pt idx="36">
                  <c:v>51996.2</c:v>
                </c:pt>
                <c:pt idx="37">
                  <c:v>-16260.02</c:v>
                </c:pt>
                <c:pt idx="38">
                  <c:v>-12910.86</c:v>
                </c:pt>
                <c:pt idx="39">
                  <c:v>41757.440000000002</c:v>
                </c:pt>
                <c:pt idx="40">
                  <c:v>48796.04</c:v>
                </c:pt>
                <c:pt idx="41">
                  <c:v>25493.29</c:v>
                </c:pt>
                <c:pt idx="42">
                  <c:v>93537.63</c:v>
                </c:pt>
                <c:pt idx="43">
                  <c:v>-96357.63</c:v>
                </c:pt>
                <c:pt idx="44">
                  <c:v>-21444</c:v>
                </c:pt>
                <c:pt idx="45">
                  <c:v>25938.34</c:v>
                </c:pt>
                <c:pt idx="46">
                  <c:v>-77211.03</c:v>
                </c:pt>
                <c:pt idx="47">
                  <c:v>-24300.63</c:v>
                </c:pt>
                <c:pt idx="48">
                  <c:v>32981.360000000001</c:v>
                </c:pt>
                <c:pt idx="49">
                  <c:v>-20189.93</c:v>
                </c:pt>
                <c:pt idx="50">
                  <c:v>30949.71</c:v>
                </c:pt>
                <c:pt idx="51">
                  <c:v>-7563.08</c:v>
                </c:pt>
                <c:pt idx="52">
                  <c:v>-5537.69</c:v>
                </c:pt>
                <c:pt idx="53">
                  <c:v>-20505</c:v>
                </c:pt>
                <c:pt idx="54">
                  <c:v>-12538.73</c:v>
                </c:pt>
                <c:pt idx="55">
                  <c:v>35597.89</c:v>
                </c:pt>
                <c:pt idx="56">
                  <c:v>2836.47</c:v>
                </c:pt>
                <c:pt idx="57">
                  <c:v>-38568.47</c:v>
                </c:pt>
                <c:pt idx="58">
                  <c:v>-29240.26</c:v>
                </c:pt>
                <c:pt idx="59">
                  <c:v>37804.46</c:v>
                </c:pt>
                <c:pt idx="60">
                  <c:v>-72732.05</c:v>
                </c:pt>
              </c:numCache>
            </c:numRef>
          </c:xVal>
          <c:yVal>
            <c:numRef>
              <c:f>Regression_Data!$D$2:$D$62</c:f>
              <c:numCache>
                <c:formatCode>0.00%</c:formatCode>
                <c:ptCount val="61"/>
                <c:pt idx="0">
                  <c:v>1.11E-2</c:v>
                </c:pt>
                <c:pt idx="1">
                  <c:v>-4.1000000000000003E-3</c:v>
                </c:pt>
                <c:pt idx="2">
                  <c:v>6.5000000000000002E-2</c:v>
                </c:pt>
                <c:pt idx="3">
                  <c:v>8.8999999999999999E-3</c:v>
                </c:pt>
                <c:pt idx="4">
                  <c:v>2.5999999999999999E-3</c:v>
                </c:pt>
                <c:pt idx="5">
                  <c:v>8.6900000000000005E-2</c:v>
                </c:pt>
                <c:pt idx="6">
                  <c:v>2.8400000000000002E-2</c:v>
                </c:pt>
                <c:pt idx="7">
                  <c:v>3.0000000000000001E-3</c:v>
                </c:pt>
                <c:pt idx="8">
                  <c:v>-3.9E-2</c:v>
                </c:pt>
                <c:pt idx="9">
                  <c:v>2.18E-2</c:v>
                </c:pt>
                <c:pt idx="10">
                  <c:v>-8.0000000000000004E-4</c:v>
                </c:pt>
                <c:pt idx="11">
                  <c:v>-3.15E-2</c:v>
                </c:pt>
                <c:pt idx="12">
                  <c:v>3.9899999999999998E-2</c:v>
                </c:pt>
                <c:pt idx="13">
                  <c:v>-2.07E-2</c:v>
                </c:pt>
                <c:pt idx="14">
                  <c:v>-3.0300000000000001E-2</c:v>
                </c:pt>
                <c:pt idx="15">
                  <c:v>-4.8500000000000001E-2</c:v>
                </c:pt>
                <c:pt idx="16">
                  <c:v>8.7300000000000003E-2</c:v>
                </c:pt>
                <c:pt idx="17">
                  <c:v>3.5000000000000003E-2</c:v>
                </c:pt>
                <c:pt idx="18">
                  <c:v>-3.7400000000000003E-2</c:v>
                </c:pt>
                <c:pt idx="19">
                  <c:v>5.3699999999999998E-2</c:v>
                </c:pt>
                <c:pt idx="20">
                  <c:v>4.1399999999999999E-2</c:v>
                </c:pt>
                <c:pt idx="21">
                  <c:v>-3.4799999999999998E-2</c:v>
                </c:pt>
                <c:pt idx="22">
                  <c:v>-2.4500000000000001E-2</c:v>
                </c:pt>
                <c:pt idx="23">
                  <c:v>-1.43E-2</c:v>
                </c:pt>
                <c:pt idx="24">
                  <c:v>-2.8999999999999998E-3</c:v>
                </c:pt>
                <c:pt idx="25">
                  <c:v>4.0599999999999997E-2</c:v>
                </c:pt>
                <c:pt idx="26">
                  <c:v>2.5999999999999999E-2</c:v>
                </c:pt>
                <c:pt idx="27">
                  <c:v>3.5299999999999998E-2</c:v>
                </c:pt>
                <c:pt idx="28">
                  <c:v>2.9399999999999999E-2</c:v>
                </c:pt>
                <c:pt idx="29">
                  <c:v>-2.53E-2</c:v>
                </c:pt>
                <c:pt idx="30">
                  <c:v>0.02</c:v>
                </c:pt>
                <c:pt idx="31">
                  <c:v>-2.8400000000000002E-2</c:v>
                </c:pt>
                <c:pt idx="32">
                  <c:v>5.5199999999999999E-2</c:v>
                </c:pt>
                <c:pt idx="33">
                  <c:v>7.9399999999999998E-2</c:v>
                </c:pt>
                <c:pt idx="34">
                  <c:v>-2.9999999999999997E-4</c:v>
                </c:pt>
                <c:pt idx="35">
                  <c:v>1.18E-2</c:v>
                </c:pt>
                <c:pt idx="36">
                  <c:v>1.5699999999999999E-2</c:v>
                </c:pt>
                <c:pt idx="37">
                  <c:v>1.24E-2</c:v>
                </c:pt>
                <c:pt idx="38">
                  <c:v>-3.3E-3</c:v>
                </c:pt>
                <c:pt idx="39">
                  <c:v>6.5699999999999995E-2</c:v>
                </c:pt>
                <c:pt idx="40">
                  <c:v>3.9199999999999999E-2</c:v>
                </c:pt>
                <c:pt idx="41">
                  <c:v>1.14E-2</c:v>
                </c:pt>
                <c:pt idx="42">
                  <c:v>2.2800000000000001E-2</c:v>
                </c:pt>
                <c:pt idx="43">
                  <c:v>-6.2199999999999998E-2</c:v>
                </c:pt>
                <c:pt idx="44">
                  <c:v>-3.0999999999999999E-3</c:v>
                </c:pt>
                <c:pt idx="45">
                  <c:v>-2.0199999999999999E-2</c:v>
                </c:pt>
                <c:pt idx="46">
                  <c:v>-5.7999999999999996E-3</c:v>
                </c:pt>
                <c:pt idx="47">
                  <c:v>-5.8900000000000001E-2</c:v>
                </c:pt>
                <c:pt idx="48">
                  <c:v>5.8299999999999998E-2</c:v>
                </c:pt>
                <c:pt idx="49">
                  <c:v>3.9300000000000002E-2</c:v>
                </c:pt>
                <c:pt idx="50">
                  <c:v>1.7100000000000001E-2</c:v>
                </c:pt>
                <c:pt idx="51">
                  <c:v>3.1E-2</c:v>
                </c:pt>
                <c:pt idx="52">
                  <c:v>-2.93E-2</c:v>
                </c:pt>
                <c:pt idx="53">
                  <c:v>-1.38E-2</c:v>
                </c:pt>
                <c:pt idx="54">
                  <c:v>7.4999999999999997E-3</c:v>
                </c:pt>
                <c:pt idx="55">
                  <c:v>4.5100000000000001E-2</c:v>
                </c:pt>
                <c:pt idx="56">
                  <c:v>1.8700000000000001E-2</c:v>
                </c:pt>
                <c:pt idx="57">
                  <c:v>-1.6000000000000001E-3</c:v>
                </c:pt>
                <c:pt idx="58">
                  <c:v>-3.1600000000000003E-2</c:v>
                </c:pt>
                <c:pt idx="59">
                  <c:v>1.4E-2</c:v>
                </c:pt>
                <c:pt idx="60">
                  <c:v>-5.16E-2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54-8C49-BA92-5C005C1C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21568"/>
        <c:axId val="57988800"/>
      </c:scatterChart>
      <c:valAx>
        <c:axId val="5802156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57988800"/>
        <c:crosses val="autoZero"/>
        <c:crossBetween val="midCat"/>
      </c:valAx>
      <c:valAx>
        <c:axId val="5798880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580215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Regression_Data!$B$1</c:f>
              <c:strCache>
                <c:ptCount val="1"/>
                <c:pt idx="0">
                  <c:v>FPI net flow in INR Crores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Regression_Data!$A$2:$A$62</c:f>
              <c:numCache>
                <c:formatCode>mmm\-yy</c:formatCode>
                <c:ptCount val="61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  <c:pt idx="60">
                  <c:v>46082</c:v>
                </c:pt>
              </c:numCache>
            </c:numRef>
          </c:cat>
          <c:val>
            <c:numRef>
              <c:f>Regression_Data!$B$2:$B$62</c:f>
              <c:numCache>
                <c:formatCode>General</c:formatCode>
                <c:ptCount val="61"/>
                <c:pt idx="0">
                  <c:v>17022.64</c:v>
                </c:pt>
                <c:pt idx="1">
                  <c:v>-8835.9</c:v>
                </c:pt>
                <c:pt idx="2">
                  <c:v>-1957.8</c:v>
                </c:pt>
                <c:pt idx="3">
                  <c:v>12973.97</c:v>
                </c:pt>
                <c:pt idx="4">
                  <c:v>-7409.99</c:v>
                </c:pt>
                <c:pt idx="5">
                  <c:v>16555.95</c:v>
                </c:pt>
                <c:pt idx="6">
                  <c:v>27755.71</c:v>
                </c:pt>
                <c:pt idx="7">
                  <c:v>-12436.92</c:v>
                </c:pt>
                <c:pt idx="8">
                  <c:v>-2520.7600000000002</c:v>
                </c:pt>
                <c:pt idx="9">
                  <c:v>-29702.19</c:v>
                </c:pt>
                <c:pt idx="10">
                  <c:v>-28526.3</c:v>
                </c:pt>
                <c:pt idx="11">
                  <c:v>-38068.019999999997</c:v>
                </c:pt>
                <c:pt idx="12">
                  <c:v>-50067.58</c:v>
                </c:pt>
                <c:pt idx="13">
                  <c:v>-22688.37</c:v>
                </c:pt>
                <c:pt idx="14">
                  <c:v>-36517.86</c:v>
                </c:pt>
                <c:pt idx="15">
                  <c:v>-51422.03</c:v>
                </c:pt>
                <c:pt idx="16">
                  <c:v>1971.33</c:v>
                </c:pt>
                <c:pt idx="17">
                  <c:v>56521.1</c:v>
                </c:pt>
                <c:pt idx="18">
                  <c:v>-3955.31</c:v>
                </c:pt>
                <c:pt idx="19">
                  <c:v>-3080.12</c:v>
                </c:pt>
                <c:pt idx="20">
                  <c:v>33847.26</c:v>
                </c:pt>
                <c:pt idx="21">
                  <c:v>9170.68</c:v>
                </c:pt>
                <c:pt idx="22">
                  <c:v>-26543.75</c:v>
                </c:pt>
                <c:pt idx="23">
                  <c:v>-4139.12</c:v>
                </c:pt>
                <c:pt idx="24">
                  <c:v>5899.21</c:v>
                </c:pt>
                <c:pt idx="25">
                  <c:v>13544.79</c:v>
                </c:pt>
                <c:pt idx="26">
                  <c:v>48329.55</c:v>
                </c:pt>
                <c:pt idx="27">
                  <c:v>56257.7</c:v>
                </c:pt>
                <c:pt idx="28">
                  <c:v>47977.08</c:v>
                </c:pt>
                <c:pt idx="29">
                  <c:v>18337.82</c:v>
                </c:pt>
                <c:pt idx="30">
                  <c:v>-13810.39</c:v>
                </c:pt>
                <c:pt idx="31">
                  <c:v>-17875.46</c:v>
                </c:pt>
                <c:pt idx="32">
                  <c:v>24546.41</c:v>
                </c:pt>
                <c:pt idx="33">
                  <c:v>84537.43</c:v>
                </c:pt>
                <c:pt idx="34">
                  <c:v>-6593.34</c:v>
                </c:pt>
                <c:pt idx="35">
                  <c:v>31816.83</c:v>
                </c:pt>
                <c:pt idx="36">
                  <c:v>51996.2</c:v>
                </c:pt>
                <c:pt idx="37">
                  <c:v>-16260.02</c:v>
                </c:pt>
                <c:pt idx="38">
                  <c:v>-12910.86</c:v>
                </c:pt>
                <c:pt idx="39">
                  <c:v>41757.440000000002</c:v>
                </c:pt>
                <c:pt idx="40">
                  <c:v>48796.04</c:v>
                </c:pt>
                <c:pt idx="41">
                  <c:v>25493.29</c:v>
                </c:pt>
                <c:pt idx="42">
                  <c:v>93537.63</c:v>
                </c:pt>
                <c:pt idx="43">
                  <c:v>-96357.63</c:v>
                </c:pt>
                <c:pt idx="44">
                  <c:v>-21444</c:v>
                </c:pt>
                <c:pt idx="45">
                  <c:v>25938.34</c:v>
                </c:pt>
                <c:pt idx="46">
                  <c:v>-77211.03</c:v>
                </c:pt>
                <c:pt idx="47">
                  <c:v>-24300.63</c:v>
                </c:pt>
                <c:pt idx="48">
                  <c:v>32981.360000000001</c:v>
                </c:pt>
                <c:pt idx="49">
                  <c:v>-20189.93</c:v>
                </c:pt>
                <c:pt idx="50">
                  <c:v>30949.71</c:v>
                </c:pt>
                <c:pt idx="51">
                  <c:v>-7563.08</c:v>
                </c:pt>
                <c:pt idx="52">
                  <c:v>-5537.69</c:v>
                </c:pt>
                <c:pt idx="53">
                  <c:v>-20505</c:v>
                </c:pt>
                <c:pt idx="54">
                  <c:v>-12538.73</c:v>
                </c:pt>
                <c:pt idx="55">
                  <c:v>35597.89</c:v>
                </c:pt>
                <c:pt idx="56">
                  <c:v>2836.47</c:v>
                </c:pt>
                <c:pt idx="57">
                  <c:v>-38568.47</c:v>
                </c:pt>
                <c:pt idx="58">
                  <c:v>-29240.26</c:v>
                </c:pt>
                <c:pt idx="59">
                  <c:v>37804.46</c:v>
                </c:pt>
                <c:pt idx="60">
                  <c:v>-72732.05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C-BA46-ABD6-5680BBD82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4656"/>
        <c:axId val="19542720"/>
      </c:lineChart>
      <c:dateAx>
        <c:axId val="195346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2720"/>
        <c:crosses val="autoZero"/>
        <c:auto val="1"/>
        <c:lblOffset val="100"/>
        <c:baseTimeUnit val="months"/>
      </c:dateAx>
      <c:valAx>
        <c:axId val="195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139701</xdr:colOff>
      <xdr:row>0</xdr:row>
      <xdr:rowOff>88900</xdr:rowOff>
    </xdr:from>
    <xdr:to>
      <xdr:col>16</xdr:col>
      <xdr:colOff>533401</xdr:colOff>
      <xdr:row>35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16F06B-5817-D14D-9852-F212BEAF1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787400</xdr:colOff>
      <xdr:row>0</xdr:row>
      <xdr:rowOff>50800</xdr:rowOff>
    </xdr:from>
    <xdr:to>
      <xdr:col>32</xdr:col>
      <xdr:colOff>558800</xdr:colOff>
      <xdr:row>36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FF9D75-9530-06A9-E5C0-86D0DF97A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DDB5E-4546-3D44-B91E-6C32F4867541}" name="Table1" displayName="Table1" ref="A1:B62" totalsRowShown="0">
  <autoFilter ref="A1:B62" xr:uid="{693DDB5E-4546-3D44-B91E-6C32F4867541}"/>
  <tableColumns count="2">
    <tableColumn id="1" xr3:uid="{E243E0E3-3D24-5148-8373-E132662306FB}" name="Month" dataDxfId="2"/>
    <tableColumn id="2" xr3:uid="{41581E1A-C974-3E42-A064-1666764C8336}" name="FPI net flow in INR Cror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9742C6-3246-194D-8577-93441BE2B847}" name="Table3" displayName="Table3" ref="C1:D62" totalsRowShown="0">
  <autoFilter ref="C1:D62" xr:uid="{A49742C6-3246-194D-8577-93441BE2B847}"/>
  <tableColumns count="2">
    <tableColumn id="1" xr3:uid="{25B5312C-3028-4A4E-801B-A9D24CA45DB5}" name="CBOE VIX"/>
    <tableColumn id="2" xr3:uid="{35C50B11-653A-1143-BAE8-BD633B8BC4A8}" name="NIFTY50_ch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7CFC-9111-0B49-818B-F479E473BAA6}">
  <dimension ref="A1:J63"/>
  <sheetViews>
    <sheetView tabSelected="1" zoomScale="70" zoomScaleNormal="70" workbookViewId="0">
      <selection activeCell="F14" sqref="F14"/>
    </sheetView>
  </sheetViews>
  <sheetFormatPr baseColWidth="10" defaultRowHeight="16" x14ac:dyDescent="0.2"/>
  <cols>
    <col min="1" max="1" width="11.33203125" customWidth="1"/>
    <col min="2" max="2" width="28.1640625" bestFit="1" customWidth="1"/>
    <col min="3" max="3" width="11.5" bestFit="1" customWidth="1"/>
    <col min="4" max="4" width="22.5" bestFit="1" customWidth="1"/>
    <col min="5" max="5" width="15.6640625" bestFit="1" customWidth="1"/>
  </cols>
  <sheetData>
    <row r="1" spans="1:10" x14ac:dyDescent="0.2">
      <c r="A1" s="7" t="s">
        <v>0</v>
      </c>
      <c r="B1" s="4" t="s">
        <v>1</v>
      </c>
      <c r="C1" t="s">
        <v>27</v>
      </c>
      <c r="D1" s="6" t="s">
        <v>2</v>
      </c>
    </row>
    <row r="2" spans="1:10" x14ac:dyDescent="0.2">
      <c r="A2" s="3">
        <v>44256</v>
      </c>
      <c r="B2" s="2">
        <v>17022.64</v>
      </c>
      <c r="C2" s="11">
        <v>19.399999999999999</v>
      </c>
      <c r="D2" s="1">
        <v>1.11E-2</v>
      </c>
    </row>
    <row r="3" spans="1:10" x14ac:dyDescent="0.2">
      <c r="A3" s="3">
        <v>44287</v>
      </c>
      <c r="B3" s="2">
        <v>-8835.9</v>
      </c>
      <c r="C3">
        <v>18.61</v>
      </c>
      <c r="D3" s="1">
        <v>-4.1000000000000003E-3</v>
      </c>
      <c r="E3" s="1"/>
      <c r="F3" s="1"/>
      <c r="G3" s="1"/>
      <c r="H3" s="1"/>
      <c r="I3" s="1"/>
      <c r="J3" s="1"/>
    </row>
    <row r="4" spans="1:10" x14ac:dyDescent="0.2">
      <c r="A4" s="3">
        <v>44317</v>
      </c>
      <c r="B4" s="2">
        <v>-1957.8</v>
      </c>
      <c r="C4">
        <v>16.760000000000002</v>
      </c>
      <c r="D4" s="1">
        <v>6.5000000000000002E-2</v>
      </c>
      <c r="E4" s="1"/>
      <c r="F4" s="1"/>
      <c r="G4" s="1"/>
      <c r="H4" s="1"/>
      <c r="I4" s="1"/>
      <c r="J4" s="1"/>
    </row>
    <row r="5" spans="1:10" x14ac:dyDescent="0.2">
      <c r="A5" s="3">
        <v>44348</v>
      </c>
      <c r="B5" s="2">
        <v>12973.97</v>
      </c>
      <c r="C5">
        <v>15.83</v>
      </c>
      <c r="D5" s="1">
        <v>8.8999999999999999E-3</v>
      </c>
      <c r="E5" s="1"/>
      <c r="F5" s="1"/>
      <c r="G5" s="1"/>
      <c r="H5" s="1"/>
      <c r="I5" s="1"/>
      <c r="J5" s="1"/>
    </row>
    <row r="6" spans="1:10" x14ac:dyDescent="0.2">
      <c r="A6" s="3">
        <v>44378</v>
      </c>
      <c r="B6" s="2">
        <v>-7409.99</v>
      </c>
      <c r="C6">
        <v>18.239999999999998</v>
      </c>
      <c r="D6" s="1">
        <v>2.5999999999999999E-3</v>
      </c>
      <c r="E6" s="1"/>
      <c r="F6" s="1"/>
      <c r="G6" s="1"/>
      <c r="H6" s="1"/>
      <c r="I6" s="1"/>
      <c r="J6" s="1"/>
    </row>
    <row r="7" spans="1:10" x14ac:dyDescent="0.2">
      <c r="A7" s="3">
        <v>44409</v>
      </c>
      <c r="B7" s="2">
        <v>16555.95</v>
      </c>
      <c r="C7">
        <v>16.48</v>
      </c>
      <c r="D7" s="1">
        <v>8.6900000000000005E-2</v>
      </c>
      <c r="E7" s="1"/>
      <c r="F7" s="1"/>
      <c r="G7" s="1"/>
      <c r="H7" s="1"/>
      <c r="I7" s="1"/>
      <c r="J7" s="1"/>
    </row>
    <row r="8" spans="1:10" x14ac:dyDescent="0.2">
      <c r="A8" s="3">
        <v>44440</v>
      </c>
      <c r="B8" s="2">
        <v>27755.71</v>
      </c>
      <c r="C8">
        <v>23.14</v>
      </c>
      <c r="D8" s="1">
        <v>2.8400000000000002E-2</v>
      </c>
      <c r="E8" s="1"/>
      <c r="F8" s="1"/>
      <c r="G8" s="1"/>
      <c r="H8" s="1"/>
      <c r="I8" s="1"/>
      <c r="J8" s="1"/>
    </row>
    <row r="9" spans="1:10" x14ac:dyDescent="0.2">
      <c r="A9" s="3">
        <v>44470</v>
      </c>
      <c r="B9" s="2">
        <v>-12436.92</v>
      </c>
      <c r="C9">
        <v>16.260000000000002</v>
      </c>
      <c r="D9" s="1">
        <v>3.0000000000000001E-3</v>
      </c>
      <c r="E9" s="1"/>
      <c r="F9" s="1"/>
      <c r="G9" s="1"/>
      <c r="H9" s="1"/>
      <c r="I9" s="1"/>
      <c r="J9" s="1"/>
    </row>
    <row r="10" spans="1:10" x14ac:dyDescent="0.2">
      <c r="A10" s="3">
        <v>44501</v>
      </c>
      <c r="B10" s="2">
        <v>-2520.7600000000002</v>
      </c>
      <c r="C10">
        <v>27.19</v>
      </c>
      <c r="D10" s="1">
        <v>-3.9E-2</v>
      </c>
      <c r="E10" s="1"/>
      <c r="F10" s="1"/>
      <c r="G10" s="1"/>
      <c r="H10" s="1"/>
      <c r="I10" s="1"/>
      <c r="J10" s="1"/>
    </row>
    <row r="11" spans="1:10" x14ac:dyDescent="0.2">
      <c r="A11" s="3">
        <v>44531</v>
      </c>
      <c r="B11" s="2">
        <v>-29702.19</v>
      </c>
      <c r="C11">
        <v>17.22</v>
      </c>
      <c r="D11" s="1">
        <v>2.18E-2</v>
      </c>
      <c r="E11" s="1"/>
      <c r="F11" s="1"/>
      <c r="G11" s="1"/>
      <c r="H11" s="1"/>
      <c r="I11" s="1"/>
      <c r="J11" s="1"/>
    </row>
    <row r="12" spans="1:10" x14ac:dyDescent="0.2">
      <c r="A12" s="3">
        <v>44562</v>
      </c>
      <c r="B12" s="5">
        <v>-28526.3</v>
      </c>
      <c r="C12">
        <v>24.87</v>
      </c>
      <c r="D12" s="1">
        <v>-8.0000000000000004E-4</v>
      </c>
      <c r="E12" s="1"/>
      <c r="F12" s="1"/>
      <c r="G12" s="1"/>
      <c r="H12" s="1"/>
      <c r="I12" s="1"/>
      <c r="J12" s="1"/>
    </row>
    <row r="13" spans="1:10" x14ac:dyDescent="0.2">
      <c r="A13" s="3">
        <v>44593</v>
      </c>
      <c r="B13" s="2">
        <v>-38068.019999999997</v>
      </c>
      <c r="C13">
        <v>30.15</v>
      </c>
      <c r="D13" s="1">
        <v>-3.15E-2</v>
      </c>
    </row>
    <row r="14" spans="1:10" x14ac:dyDescent="0.2">
      <c r="A14" s="3">
        <v>44621</v>
      </c>
      <c r="B14" s="2">
        <v>-50067.58</v>
      </c>
      <c r="C14">
        <v>20.56</v>
      </c>
      <c r="D14" s="1">
        <v>3.9899999999999998E-2</v>
      </c>
    </row>
    <row r="15" spans="1:10" x14ac:dyDescent="0.2">
      <c r="A15" s="3">
        <v>44652</v>
      </c>
      <c r="B15" s="2">
        <v>-22688.37</v>
      </c>
      <c r="C15">
        <v>33.4</v>
      </c>
      <c r="D15" s="1">
        <v>-2.07E-2</v>
      </c>
      <c r="E15" s="1"/>
      <c r="F15" s="1"/>
      <c r="G15" s="1"/>
      <c r="H15" s="1"/>
      <c r="I15" s="1"/>
      <c r="J15" s="1"/>
    </row>
    <row r="16" spans="1:10" x14ac:dyDescent="0.2">
      <c r="A16" s="3">
        <v>44682</v>
      </c>
      <c r="B16" s="2">
        <v>-36517.86</v>
      </c>
      <c r="C16">
        <v>26.19</v>
      </c>
      <c r="D16" s="1">
        <v>-3.0300000000000001E-2</v>
      </c>
      <c r="E16" s="1"/>
      <c r="F16" s="1"/>
      <c r="G16" s="1"/>
      <c r="H16" s="1"/>
      <c r="I16" s="1"/>
      <c r="J16" s="1"/>
    </row>
    <row r="17" spans="1:10" x14ac:dyDescent="0.2">
      <c r="A17" s="3">
        <v>44713</v>
      </c>
      <c r="B17" s="2">
        <v>-51422.03</v>
      </c>
      <c r="C17">
        <v>28.71</v>
      </c>
      <c r="D17" s="1">
        <v>-4.8500000000000001E-2</v>
      </c>
      <c r="E17" s="1"/>
      <c r="F17" s="1"/>
      <c r="G17" s="1"/>
      <c r="H17" s="1"/>
      <c r="I17" s="1"/>
      <c r="J17" s="1"/>
    </row>
    <row r="18" spans="1:10" x14ac:dyDescent="0.2">
      <c r="A18" s="3">
        <v>44743</v>
      </c>
      <c r="B18" s="2">
        <v>1971.33</v>
      </c>
      <c r="C18">
        <v>21.33</v>
      </c>
      <c r="D18" s="1">
        <v>8.7300000000000003E-2</v>
      </c>
      <c r="E18" s="1"/>
      <c r="F18" s="1"/>
      <c r="G18" s="1"/>
      <c r="H18" s="1"/>
      <c r="I18" s="1"/>
      <c r="J18" s="1"/>
    </row>
    <row r="19" spans="1:10" x14ac:dyDescent="0.2">
      <c r="A19" s="3">
        <v>44774</v>
      </c>
      <c r="B19" s="2">
        <v>56521.1</v>
      </c>
      <c r="C19">
        <v>25.87</v>
      </c>
      <c r="D19" s="1">
        <v>3.5000000000000003E-2</v>
      </c>
      <c r="E19" s="1"/>
      <c r="F19" s="1"/>
      <c r="G19" s="1"/>
      <c r="H19" s="1"/>
      <c r="I19" s="1"/>
      <c r="J19" s="1"/>
    </row>
    <row r="20" spans="1:10" x14ac:dyDescent="0.2">
      <c r="A20" s="3">
        <v>44805</v>
      </c>
      <c r="B20" s="2">
        <v>-3955.31</v>
      </c>
      <c r="C20">
        <v>31.62</v>
      </c>
      <c r="D20" s="1">
        <v>-3.7400000000000003E-2</v>
      </c>
      <c r="E20" s="1"/>
      <c r="F20" s="1"/>
      <c r="G20" s="1"/>
      <c r="H20" s="1"/>
      <c r="I20" s="1"/>
      <c r="J20" s="1"/>
    </row>
    <row r="21" spans="1:10" x14ac:dyDescent="0.2">
      <c r="A21" s="3">
        <v>44835</v>
      </c>
      <c r="B21" s="2">
        <v>-3080.12</v>
      </c>
      <c r="C21">
        <v>25.88</v>
      </c>
      <c r="D21" s="1">
        <v>5.3699999999999998E-2</v>
      </c>
      <c r="E21" s="1"/>
      <c r="F21" s="1"/>
      <c r="G21" s="1"/>
      <c r="H21" s="1"/>
      <c r="I21" s="1"/>
      <c r="J21" s="1"/>
    </row>
    <row r="22" spans="1:10" x14ac:dyDescent="0.2">
      <c r="A22" s="3">
        <v>44866</v>
      </c>
      <c r="B22" s="2">
        <v>33847.26</v>
      </c>
      <c r="C22">
        <v>20.57</v>
      </c>
      <c r="D22" s="1">
        <v>4.1399999999999999E-2</v>
      </c>
      <c r="E22" s="1"/>
      <c r="F22" s="1"/>
      <c r="G22" s="1"/>
      <c r="H22" s="1"/>
      <c r="I22" s="1"/>
      <c r="J22" s="1"/>
    </row>
    <row r="23" spans="1:10" x14ac:dyDescent="0.2">
      <c r="A23" s="3">
        <v>44896</v>
      </c>
      <c r="B23" s="2">
        <v>9170.68</v>
      </c>
      <c r="C23">
        <v>21.67</v>
      </c>
      <c r="D23" s="1">
        <v>-3.4799999999999998E-2</v>
      </c>
      <c r="E23" s="1"/>
      <c r="F23" s="1"/>
      <c r="G23" s="1"/>
      <c r="H23" s="1"/>
      <c r="I23" s="1"/>
      <c r="J23" s="1"/>
    </row>
    <row r="24" spans="1:10" x14ac:dyDescent="0.2">
      <c r="A24" s="3">
        <v>44927</v>
      </c>
      <c r="B24" s="2">
        <v>-26543.75</v>
      </c>
      <c r="C24">
        <v>18.399999999999999</v>
      </c>
      <c r="D24" s="1">
        <v>-2.4500000000000001E-2</v>
      </c>
      <c r="E24" s="1"/>
      <c r="F24" s="1"/>
      <c r="G24" s="1"/>
      <c r="H24" s="1"/>
      <c r="I24" s="1"/>
      <c r="J24" s="1"/>
    </row>
    <row r="25" spans="1:10" x14ac:dyDescent="0.2">
      <c r="A25" s="3">
        <v>44958</v>
      </c>
      <c r="B25" s="2">
        <v>-4139.12</v>
      </c>
      <c r="C25">
        <v>20.7</v>
      </c>
      <c r="D25" s="1">
        <v>-1.43E-2</v>
      </c>
    </row>
    <row r="26" spans="1:10" x14ac:dyDescent="0.2">
      <c r="A26" s="3">
        <v>44986</v>
      </c>
      <c r="B26" s="2">
        <v>5899.21</v>
      </c>
      <c r="C26">
        <v>18.7</v>
      </c>
      <c r="D26" s="1">
        <v>-2.8999999999999998E-3</v>
      </c>
    </row>
    <row r="27" spans="1:10" x14ac:dyDescent="0.2">
      <c r="A27" s="3">
        <v>45017</v>
      </c>
      <c r="B27" s="2">
        <v>13544.79</v>
      </c>
      <c r="C27">
        <v>15.78</v>
      </c>
      <c r="D27" s="1">
        <v>4.0599999999999997E-2</v>
      </c>
    </row>
    <row r="28" spans="1:10" x14ac:dyDescent="0.2">
      <c r="A28" s="3">
        <v>45047</v>
      </c>
      <c r="B28" s="2">
        <v>48329.55</v>
      </c>
      <c r="C28">
        <v>17.940000000000001</v>
      </c>
      <c r="D28" s="1">
        <v>2.5999999999999999E-2</v>
      </c>
    </row>
    <row r="29" spans="1:10" x14ac:dyDescent="0.2">
      <c r="A29" s="3">
        <v>45078</v>
      </c>
      <c r="B29" s="2">
        <v>56257.7</v>
      </c>
      <c r="C29">
        <v>13.59</v>
      </c>
      <c r="D29" s="1">
        <v>3.5299999999999998E-2</v>
      </c>
    </row>
    <row r="30" spans="1:10" x14ac:dyDescent="0.2">
      <c r="A30" s="3">
        <v>45108</v>
      </c>
      <c r="B30" s="2">
        <v>47977.08</v>
      </c>
      <c r="C30">
        <v>13.33</v>
      </c>
      <c r="D30" s="1">
        <v>2.9399999999999999E-2</v>
      </c>
    </row>
    <row r="31" spans="1:10" x14ac:dyDescent="0.2">
      <c r="A31" s="3">
        <v>45139</v>
      </c>
      <c r="B31" s="2">
        <v>18337.82</v>
      </c>
      <c r="C31">
        <v>13.57</v>
      </c>
      <c r="D31" s="1">
        <v>-2.53E-2</v>
      </c>
    </row>
    <row r="32" spans="1:10" x14ac:dyDescent="0.2">
      <c r="A32" s="3">
        <v>45170</v>
      </c>
      <c r="B32" s="2">
        <v>-13810.39</v>
      </c>
      <c r="C32">
        <v>17.52</v>
      </c>
      <c r="D32" s="1">
        <v>0.02</v>
      </c>
    </row>
    <row r="33" spans="1:4" x14ac:dyDescent="0.2">
      <c r="A33" s="3">
        <v>45200</v>
      </c>
      <c r="B33" s="2">
        <v>-17875.46</v>
      </c>
      <c r="C33">
        <v>18.14</v>
      </c>
      <c r="D33" s="1">
        <v>-2.8400000000000002E-2</v>
      </c>
    </row>
    <row r="34" spans="1:4" x14ac:dyDescent="0.2">
      <c r="A34" s="3">
        <v>45231</v>
      </c>
      <c r="B34" s="2">
        <v>24546.41</v>
      </c>
      <c r="C34">
        <v>12.92</v>
      </c>
      <c r="D34" s="1">
        <v>5.5199999999999999E-2</v>
      </c>
    </row>
    <row r="35" spans="1:4" x14ac:dyDescent="0.2">
      <c r="A35" s="3">
        <v>45261</v>
      </c>
      <c r="B35" s="2">
        <v>84537.43</v>
      </c>
      <c r="C35">
        <v>12.45</v>
      </c>
      <c r="D35" s="1">
        <v>7.9399999999999998E-2</v>
      </c>
    </row>
    <row r="36" spans="1:4" x14ac:dyDescent="0.2">
      <c r="A36" s="3">
        <v>45292</v>
      </c>
      <c r="B36" s="2">
        <v>-6593.34</v>
      </c>
      <c r="C36">
        <v>14.35</v>
      </c>
      <c r="D36" s="1">
        <v>-2.9999999999999997E-4</v>
      </c>
    </row>
    <row r="37" spans="1:4" x14ac:dyDescent="0.2">
      <c r="A37" s="3">
        <v>45323</v>
      </c>
      <c r="B37" s="2">
        <v>31816.83</v>
      </c>
      <c r="C37">
        <v>13.4</v>
      </c>
      <c r="D37" s="1">
        <v>1.18E-2</v>
      </c>
    </row>
    <row r="38" spans="1:4" x14ac:dyDescent="0.2">
      <c r="A38" s="3">
        <v>45352</v>
      </c>
      <c r="B38" s="2">
        <v>51996.2</v>
      </c>
      <c r="C38">
        <v>13.01</v>
      </c>
      <c r="D38" s="1">
        <v>1.5699999999999999E-2</v>
      </c>
    </row>
    <row r="39" spans="1:4" x14ac:dyDescent="0.2">
      <c r="A39" s="3">
        <v>45383</v>
      </c>
      <c r="B39" s="2">
        <v>-16260.02</v>
      </c>
      <c r="C39">
        <v>15.65</v>
      </c>
      <c r="D39" s="1">
        <v>1.24E-2</v>
      </c>
    </row>
    <row r="40" spans="1:4" x14ac:dyDescent="0.2">
      <c r="A40" s="3">
        <v>45413</v>
      </c>
      <c r="B40" s="2">
        <v>-12910.86</v>
      </c>
      <c r="C40">
        <v>12.92</v>
      </c>
      <c r="D40" s="1">
        <v>-3.3E-3</v>
      </c>
    </row>
    <row r="41" spans="1:4" x14ac:dyDescent="0.2">
      <c r="A41" s="3">
        <v>45444</v>
      </c>
      <c r="B41" s="2">
        <v>41757.440000000002</v>
      </c>
      <c r="C41">
        <v>12.44</v>
      </c>
      <c r="D41" s="1">
        <v>6.5699999999999995E-2</v>
      </c>
    </row>
    <row r="42" spans="1:4" x14ac:dyDescent="0.2">
      <c r="A42" s="3">
        <v>45474</v>
      </c>
      <c r="B42" s="2">
        <v>48796.04</v>
      </c>
      <c r="C42">
        <v>16.36</v>
      </c>
      <c r="D42" s="1">
        <v>3.9199999999999999E-2</v>
      </c>
    </row>
    <row r="43" spans="1:4" x14ac:dyDescent="0.2">
      <c r="A43" s="3">
        <v>45505</v>
      </c>
      <c r="B43" s="2">
        <v>25493.29</v>
      </c>
      <c r="C43">
        <v>15</v>
      </c>
      <c r="D43" s="1">
        <v>1.14E-2</v>
      </c>
    </row>
    <row r="44" spans="1:4" x14ac:dyDescent="0.2">
      <c r="A44" s="3">
        <v>45536</v>
      </c>
      <c r="B44" s="2">
        <v>93537.63</v>
      </c>
      <c r="C44">
        <v>17.22</v>
      </c>
      <c r="D44" s="1">
        <v>2.2800000000000001E-2</v>
      </c>
    </row>
    <row r="45" spans="1:4" x14ac:dyDescent="0.2">
      <c r="A45" s="3">
        <v>45566</v>
      </c>
      <c r="B45" s="2">
        <v>-96357.63</v>
      </c>
      <c r="C45">
        <v>18.14</v>
      </c>
      <c r="D45" s="1">
        <v>-6.2199999999999998E-2</v>
      </c>
    </row>
    <row r="46" spans="1:4" x14ac:dyDescent="0.2">
      <c r="A46" s="3">
        <v>45597</v>
      </c>
      <c r="B46" s="2">
        <v>-21444</v>
      </c>
      <c r="C46">
        <v>13.04</v>
      </c>
      <c r="D46" s="1">
        <v>-3.0999999999999999E-3</v>
      </c>
    </row>
    <row r="47" spans="1:4" x14ac:dyDescent="0.2">
      <c r="A47" s="3">
        <v>45627</v>
      </c>
      <c r="B47" s="2">
        <v>25938.34</v>
      </c>
      <c r="C47">
        <v>12.45</v>
      </c>
      <c r="D47" s="1">
        <v>-2.0199999999999999E-2</v>
      </c>
    </row>
    <row r="48" spans="1:4" x14ac:dyDescent="0.2">
      <c r="A48" s="3">
        <v>45658</v>
      </c>
      <c r="B48" s="2">
        <v>-77211.03</v>
      </c>
      <c r="C48">
        <v>14.62</v>
      </c>
      <c r="D48" s="1">
        <v>-5.7999999999999996E-3</v>
      </c>
    </row>
    <row r="49" spans="1:4" x14ac:dyDescent="0.2">
      <c r="A49" s="3">
        <v>45689</v>
      </c>
      <c r="B49" s="2">
        <v>-24300.63</v>
      </c>
      <c r="C49">
        <v>13.4</v>
      </c>
      <c r="D49" s="1">
        <v>-5.8900000000000001E-2</v>
      </c>
    </row>
    <row r="50" spans="1:4" x14ac:dyDescent="0.2">
      <c r="A50" s="3">
        <v>45717</v>
      </c>
      <c r="B50" s="2">
        <v>32981.360000000001</v>
      </c>
      <c r="C50">
        <v>15.05</v>
      </c>
      <c r="D50" s="1">
        <v>5.8299999999999998E-2</v>
      </c>
    </row>
    <row r="51" spans="1:4" x14ac:dyDescent="0.2">
      <c r="A51" s="3">
        <v>45748</v>
      </c>
      <c r="B51" s="2">
        <v>-20189.93</v>
      </c>
      <c r="C51">
        <v>19.23</v>
      </c>
      <c r="D51" s="1">
        <v>3.9300000000000002E-2</v>
      </c>
    </row>
    <row r="52" spans="1:4" x14ac:dyDescent="0.2">
      <c r="A52" s="3">
        <v>45778</v>
      </c>
      <c r="B52" s="2">
        <v>30949.71</v>
      </c>
      <c r="C52">
        <v>16.98</v>
      </c>
      <c r="D52" s="1">
        <v>1.7100000000000001E-2</v>
      </c>
    </row>
    <row r="53" spans="1:4" x14ac:dyDescent="0.2">
      <c r="A53" s="3">
        <v>45809</v>
      </c>
      <c r="B53" s="2">
        <v>-7563.08</v>
      </c>
      <c r="C53">
        <v>15.23</v>
      </c>
      <c r="D53" s="1">
        <v>3.1E-2</v>
      </c>
    </row>
    <row r="54" spans="1:4" x14ac:dyDescent="0.2">
      <c r="A54" s="3">
        <v>45839</v>
      </c>
      <c r="B54" s="2">
        <v>-5537.69</v>
      </c>
      <c r="C54">
        <v>14.12</v>
      </c>
      <c r="D54" s="1">
        <v>-2.93E-2</v>
      </c>
    </row>
    <row r="55" spans="1:4" x14ac:dyDescent="0.2">
      <c r="A55" s="3">
        <v>45870</v>
      </c>
      <c r="B55" s="2">
        <v>-20505</v>
      </c>
      <c r="C55">
        <v>15.87</v>
      </c>
      <c r="D55" s="1">
        <v>-1.38E-2</v>
      </c>
    </row>
    <row r="56" spans="1:4" x14ac:dyDescent="0.2">
      <c r="A56" s="3">
        <v>45901</v>
      </c>
      <c r="B56" s="2">
        <v>-12538.73</v>
      </c>
      <c r="C56">
        <v>17.91</v>
      </c>
      <c r="D56" s="1">
        <v>7.4999999999999997E-3</v>
      </c>
    </row>
    <row r="57" spans="1:4" x14ac:dyDescent="0.2">
      <c r="A57" s="3">
        <v>45931</v>
      </c>
      <c r="B57" s="2">
        <v>35597.89</v>
      </c>
      <c r="C57">
        <v>18.75</v>
      </c>
      <c r="D57" s="1">
        <v>4.5100000000000001E-2</v>
      </c>
    </row>
    <row r="58" spans="1:4" x14ac:dyDescent="0.2">
      <c r="A58" s="3">
        <v>45962</v>
      </c>
      <c r="B58" s="2">
        <v>2836.47</v>
      </c>
      <c r="C58">
        <v>15.23</v>
      </c>
      <c r="D58" s="1">
        <v>1.8700000000000001E-2</v>
      </c>
    </row>
    <row r="59" spans="1:4" x14ac:dyDescent="0.2">
      <c r="A59" s="3">
        <v>45992</v>
      </c>
      <c r="B59" s="2">
        <v>-38568.47</v>
      </c>
      <c r="C59">
        <v>14.95</v>
      </c>
      <c r="D59" s="1">
        <v>-1.6000000000000001E-3</v>
      </c>
    </row>
    <row r="60" spans="1:4" x14ac:dyDescent="0.2">
      <c r="A60" s="3">
        <v>46023</v>
      </c>
      <c r="B60" s="2">
        <v>-29240.26</v>
      </c>
      <c r="C60">
        <v>18.420000000000002</v>
      </c>
      <c r="D60" s="1">
        <v>-3.1600000000000003E-2</v>
      </c>
    </row>
    <row r="61" spans="1:4" x14ac:dyDescent="0.2">
      <c r="A61" s="3">
        <v>46054</v>
      </c>
      <c r="B61" s="2">
        <v>37804.46</v>
      </c>
      <c r="C61">
        <v>18.63</v>
      </c>
      <c r="D61" s="1">
        <v>1.4E-2</v>
      </c>
    </row>
    <row r="62" spans="1:4" x14ac:dyDescent="0.2">
      <c r="A62" s="3">
        <v>46082</v>
      </c>
      <c r="B62" s="2">
        <v>-72732.05</v>
      </c>
      <c r="C62">
        <v>23.57</v>
      </c>
      <c r="D62" s="1">
        <v>-5.16E-2</v>
      </c>
    </row>
    <row r="63" spans="1:4" x14ac:dyDescent="0.2">
      <c r="D63" s="1"/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D36F-A91F-A84F-B353-F5054DC8100F}">
  <dimension ref="A1:I18"/>
  <sheetViews>
    <sheetView workbookViewId="0">
      <selection activeCell="M19" sqref="M19"/>
    </sheetView>
  </sheetViews>
  <sheetFormatPr baseColWidth="10" defaultRowHeight="16" x14ac:dyDescent="0.2"/>
  <cols>
    <col min="2" max="2" width="12.1640625" bestFit="1" customWidth="1"/>
    <col min="3" max="3" width="13.5" bestFit="1" customWidth="1"/>
    <col min="4" max="5" width="12.1640625" bestFit="1" customWidth="1"/>
    <col min="6" max="6" width="13" bestFit="1" customWidth="1"/>
    <col min="7" max="7" width="12.1640625" bestFit="1" customWidth="1"/>
    <col min="8" max="9" width="12.33203125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0" t="s">
        <v>4</v>
      </c>
      <c r="B3" s="10"/>
    </row>
    <row r="4" spans="1:9" x14ac:dyDescent="0.2">
      <c r="A4" t="s">
        <v>5</v>
      </c>
      <c r="B4">
        <v>0.5712526847391336</v>
      </c>
    </row>
    <row r="5" spans="1:9" x14ac:dyDescent="0.2">
      <c r="A5" t="s">
        <v>6</v>
      </c>
      <c r="B5">
        <v>0.32632962982166802</v>
      </c>
    </row>
    <row r="6" spans="1:9" x14ac:dyDescent="0.2">
      <c r="A6" t="s">
        <v>7</v>
      </c>
      <c r="B6">
        <v>0.31491148795423868</v>
      </c>
    </row>
    <row r="7" spans="1:9" x14ac:dyDescent="0.2">
      <c r="A7" t="s">
        <v>8</v>
      </c>
      <c r="B7">
        <v>2.9633034692880898E-2</v>
      </c>
    </row>
    <row r="8" spans="1:9" ht="17" thickBot="1" x14ac:dyDescent="0.25">
      <c r="A8" s="8" t="s">
        <v>9</v>
      </c>
      <c r="B8" s="8">
        <v>61</v>
      </c>
    </row>
    <row r="10" spans="1:9" ht="17" thickBot="1" x14ac:dyDescent="0.25">
      <c r="A10" t="s">
        <v>10</v>
      </c>
    </row>
    <row r="11" spans="1:9" x14ac:dyDescent="0.2">
      <c r="A11" s="9"/>
      <c r="B11" s="9" t="s">
        <v>15</v>
      </c>
      <c r="C11" s="9" t="s">
        <v>16</v>
      </c>
      <c r="D11" s="9" t="s">
        <v>17</v>
      </c>
      <c r="E11" s="9" t="s">
        <v>18</v>
      </c>
      <c r="F11" s="9" t="s">
        <v>19</v>
      </c>
    </row>
    <row r="12" spans="1:9" x14ac:dyDescent="0.2">
      <c r="A12" t="s">
        <v>11</v>
      </c>
      <c r="B12">
        <v>1</v>
      </c>
      <c r="C12">
        <v>2.509651007132737E-2</v>
      </c>
      <c r="D12">
        <v>2.509651007132737E-2</v>
      </c>
      <c r="E12">
        <v>28.579924265307522</v>
      </c>
      <c r="F12">
        <v>1.5254220187588571E-6</v>
      </c>
    </row>
    <row r="13" spans="1:9" x14ac:dyDescent="0.2">
      <c r="A13" t="s">
        <v>12</v>
      </c>
      <c r="B13">
        <v>59</v>
      </c>
      <c r="C13">
        <v>5.1808887961459486E-2</v>
      </c>
      <c r="D13">
        <v>8.7811674510948287E-4</v>
      </c>
    </row>
    <row r="14" spans="1:9" ht="17" thickBot="1" x14ac:dyDescent="0.25">
      <c r="A14" s="8" t="s">
        <v>13</v>
      </c>
      <c r="B14" s="8">
        <v>60</v>
      </c>
      <c r="C14" s="8">
        <v>7.6905398032786856E-2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20</v>
      </c>
      <c r="C16" s="9" t="s">
        <v>8</v>
      </c>
      <c r="D16" s="9" t="s">
        <v>21</v>
      </c>
      <c r="E16" s="9" t="s">
        <v>22</v>
      </c>
      <c r="F16" s="9" t="s">
        <v>23</v>
      </c>
      <c r="G16" s="9" t="s">
        <v>24</v>
      </c>
      <c r="H16" s="9" t="s">
        <v>25</v>
      </c>
      <c r="I16" s="9" t="s">
        <v>26</v>
      </c>
    </row>
    <row r="17" spans="1:9" x14ac:dyDescent="0.2">
      <c r="A17" t="s">
        <v>14</v>
      </c>
      <c r="B17">
        <v>8.0970978281544939E-3</v>
      </c>
      <c r="C17">
        <v>3.7990017608030219E-3</v>
      </c>
      <c r="D17">
        <v>2.1313751185108565</v>
      </c>
      <c r="E17">
        <v>3.7234327472065412E-2</v>
      </c>
      <c r="F17">
        <v>4.9531286343845228E-4</v>
      </c>
      <c r="G17">
        <v>1.5698882792870534E-2</v>
      </c>
      <c r="H17">
        <v>4.9531286343845228E-4</v>
      </c>
      <c r="I17">
        <v>1.5698882792870534E-2</v>
      </c>
    </row>
    <row r="18" spans="1:9" ht="17" thickBot="1" x14ac:dyDescent="0.25">
      <c r="A18" s="8" t="s">
        <v>1</v>
      </c>
      <c r="B18" s="8">
        <v>5.5435342083114468E-7</v>
      </c>
      <c r="C18" s="8">
        <v>1.0369461298312895E-7</v>
      </c>
      <c r="D18" s="8">
        <v>5.3460194785753981</v>
      </c>
      <c r="E18" s="8">
        <v>1.5254220187588347E-6</v>
      </c>
      <c r="F18" s="8">
        <v>3.4686097951925187E-7</v>
      </c>
      <c r="G18" s="8">
        <v>7.6184586214303748E-7</v>
      </c>
      <c r="H18" s="8">
        <v>3.4686097951925187E-7</v>
      </c>
      <c r="I18" s="8">
        <v>7.6184586214303748E-7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8507-624C-0249-8482-861EC4650169}">
  <dimension ref="A1:I19"/>
  <sheetViews>
    <sheetView workbookViewId="0">
      <selection activeCell="B18" sqref="B18"/>
    </sheetView>
  </sheetViews>
  <sheetFormatPr baseColWidth="10" defaultRowHeight="16" x14ac:dyDescent="0.2"/>
  <cols>
    <col min="1" max="1" width="22.5" bestFit="1" customWidth="1"/>
    <col min="2" max="2" width="12.83203125" bestFit="1" customWidth="1"/>
    <col min="3" max="3" width="13.5" bestFit="1" customWidth="1"/>
    <col min="4" max="4" width="12.83203125" bestFit="1" customWidth="1"/>
    <col min="6" max="6" width="13" bestFit="1" customWidth="1"/>
    <col min="8" max="8" width="12.83203125" bestFit="1" customWidth="1"/>
    <col min="9" max="9" width="12.33203125" bestFit="1" customWidth="1"/>
  </cols>
  <sheetData>
    <row r="1" spans="1:9" x14ac:dyDescent="0.2">
      <c r="A1" t="s">
        <v>3</v>
      </c>
    </row>
    <row r="2" spans="1:9" ht="17" thickBot="1" x14ac:dyDescent="0.25"/>
    <row r="3" spans="1:9" x14ac:dyDescent="0.2">
      <c r="A3" s="15" t="s">
        <v>4</v>
      </c>
      <c r="B3" s="15"/>
    </row>
    <row r="4" spans="1:9" x14ac:dyDescent="0.2">
      <c r="A4" s="12" t="s">
        <v>5</v>
      </c>
      <c r="B4" s="12">
        <v>0.58653321194298136</v>
      </c>
    </row>
    <row r="5" spans="1:9" x14ac:dyDescent="0.2">
      <c r="A5" s="12" t="s">
        <v>6</v>
      </c>
      <c r="B5" s="12">
        <v>0.34402120871215025</v>
      </c>
    </row>
    <row r="6" spans="1:9" x14ac:dyDescent="0.2">
      <c r="A6" s="12" t="s">
        <v>7</v>
      </c>
      <c r="B6" s="12">
        <v>0.32140125039187956</v>
      </c>
    </row>
    <row r="7" spans="1:9" x14ac:dyDescent="0.2">
      <c r="A7" s="12" t="s">
        <v>8</v>
      </c>
      <c r="B7" s="12">
        <v>2.9492345601066266E-2</v>
      </c>
    </row>
    <row r="8" spans="1:9" ht="17" thickBot="1" x14ac:dyDescent="0.25">
      <c r="A8" s="13" t="s">
        <v>9</v>
      </c>
      <c r="B8" s="13">
        <v>61</v>
      </c>
    </row>
    <row r="10" spans="1:9" ht="17" thickBot="1" x14ac:dyDescent="0.25">
      <c r="A10" t="s">
        <v>10</v>
      </c>
    </row>
    <row r="11" spans="1:9" x14ac:dyDescent="0.2">
      <c r="A11" s="14"/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</row>
    <row r="12" spans="1:9" x14ac:dyDescent="0.2">
      <c r="A12" s="12" t="s">
        <v>11</v>
      </c>
      <c r="B12" s="12">
        <v>2</v>
      </c>
      <c r="C12" s="12">
        <v>2.6457087987728355E-2</v>
      </c>
      <c r="D12" s="12">
        <v>1.3228543993864177E-2</v>
      </c>
      <c r="E12" s="12">
        <v>15.208746357585397</v>
      </c>
      <c r="F12" s="12">
        <v>4.8955799717282684E-6</v>
      </c>
    </row>
    <row r="13" spans="1:9" x14ac:dyDescent="0.2">
      <c r="A13" s="12" t="s">
        <v>12</v>
      </c>
      <c r="B13" s="12">
        <v>58</v>
      </c>
      <c r="C13" s="12">
        <v>5.0448310045058502E-2</v>
      </c>
      <c r="D13" s="12">
        <v>8.6979844905273279E-4</v>
      </c>
      <c r="E13" s="12"/>
      <c r="F13" s="12"/>
    </row>
    <row r="14" spans="1:9" ht="17" thickBot="1" x14ac:dyDescent="0.25">
      <c r="A14" s="13" t="s">
        <v>13</v>
      </c>
      <c r="B14" s="13">
        <v>60</v>
      </c>
      <c r="C14" s="13">
        <v>7.6905398032786856E-2</v>
      </c>
      <c r="D14" s="13"/>
      <c r="E14" s="13"/>
      <c r="F14" s="13"/>
    </row>
    <row r="15" spans="1:9" ht="17" thickBot="1" x14ac:dyDescent="0.25"/>
    <row r="16" spans="1:9" x14ac:dyDescent="0.2">
      <c r="A16" s="14"/>
      <c r="B16" s="14" t="s">
        <v>20</v>
      </c>
      <c r="C16" s="14" t="s">
        <v>8</v>
      </c>
      <c r="D16" s="14" t="s">
        <v>21</v>
      </c>
      <c r="E16" s="14" t="s">
        <v>22</v>
      </c>
      <c r="F16" s="14" t="s">
        <v>23</v>
      </c>
      <c r="G16" s="14" t="s">
        <v>24</v>
      </c>
      <c r="H16" s="14" t="s">
        <v>25</v>
      </c>
      <c r="I16" s="14" t="s">
        <v>26</v>
      </c>
    </row>
    <row r="17" spans="1:9" x14ac:dyDescent="0.2">
      <c r="A17" s="12" t="s">
        <v>14</v>
      </c>
      <c r="B17" s="12">
        <v>2.6364673025291614E-2</v>
      </c>
      <c r="C17" s="12">
        <v>1.5087352182383806E-2</v>
      </c>
      <c r="D17" s="12">
        <v>1.7474685224141158</v>
      </c>
      <c r="E17" s="12">
        <v>8.5848802629441764E-2</v>
      </c>
      <c r="F17" s="12">
        <v>-3.8359436276428219E-3</v>
      </c>
      <c r="G17" s="12">
        <v>5.6565289678226049E-2</v>
      </c>
      <c r="H17" s="12">
        <v>-3.8359436276428219E-3</v>
      </c>
      <c r="I17" s="12">
        <v>5.6565289678226049E-2</v>
      </c>
    </row>
    <row r="18" spans="1:9" x14ac:dyDescent="0.2">
      <c r="A18" s="12" t="s">
        <v>1</v>
      </c>
      <c r="B18" s="12">
        <v>5.1383930985769882E-7</v>
      </c>
      <c r="C18" s="12">
        <v>1.0816669838657372E-7</v>
      </c>
      <c r="D18" s="12">
        <v>4.7504390678663775</v>
      </c>
      <c r="E18" s="12">
        <v>1.3759922973392857E-5</v>
      </c>
      <c r="F18" s="12">
        <v>2.9732013849502997E-7</v>
      </c>
      <c r="G18" s="12">
        <v>7.3035848122036767E-7</v>
      </c>
      <c r="H18" s="12">
        <v>2.9732013849502997E-7</v>
      </c>
      <c r="I18" s="12">
        <v>7.3035848122036767E-7</v>
      </c>
    </row>
    <row r="19" spans="1:9" ht="17" thickBot="1" x14ac:dyDescent="0.25">
      <c r="A19" s="13" t="s">
        <v>27</v>
      </c>
      <c r="B19" s="13">
        <v>-9.91781540575836E-4</v>
      </c>
      <c r="C19" s="13">
        <v>7.9298254248063335E-4</v>
      </c>
      <c r="D19" s="13">
        <v>-1.2506978242841429</v>
      </c>
      <c r="E19" s="13">
        <v>0.21606678512449742</v>
      </c>
      <c r="F19" s="13">
        <v>-2.5791085604812613E-3</v>
      </c>
      <c r="G19" s="13">
        <v>5.9554547932958953E-4</v>
      </c>
      <c r="H19" s="13">
        <v>-2.5791085604812613E-3</v>
      </c>
      <c r="I19" s="13">
        <v>5.9554547932958953E-4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3B0C-1B6E-4C40-81F1-EA39C8CF6A9E}">
  <dimension ref="A1"/>
  <sheetViews>
    <sheetView zoomScale="50" workbookViewId="0">
      <selection activeCell="AL30" sqref="AL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Regression_Data</vt:lpstr>
      <vt:lpstr>Regression Output</vt:lpstr>
      <vt:lpstr>Regression_Output_V2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Thakkar</dc:creator>
  <cp:lastModifiedBy>Veer Thakkar</cp:lastModifiedBy>
  <dcterms:created xsi:type="dcterms:W3CDTF">2026-03-17T08:02:16Z</dcterms:created>
  <dcterms:modified xsi:type="dcterms:W3CDTF">2026-03-17T16:13:02Z</dcterms:modified>
</cp:coreProperties>
</file>