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eerthakkar/Documents/Projects/"/>
    </mc:Choice>
  </mc:AlternateContent>
  <xr:revisionPtr revIDLastSave="0" documentId="13_ncr:1_{752681CB-BA1E-7940-B3D3-2D03FADF6525}" xr6:coauthVersionLast="47" xr6:coauthVersionMax="47" xr10:uidLastSave="{00000000-0000-0000-0000-000000000000}"/>
  <bookViews>
    <workbookView xWindow="0" yWindow="600" windowWidth="28800" windowHeight="16420" firstSheet="1" activeTab="4" xr2:uid="{8FA2463F-2CC4-C641-9CFF-281B11CEF226}"/>
  </bookViews>
  <sheets>
    <sheet name="Regression_Data" sheetId="2" r:id="rId1"/>
    <sheet name="Regression_Data (2)" sheetId="6" r:id="rId2"/>
    <sheet name="Regression_Data (3)" sheetId="9" r:id="rId3"/>
    <sheet name="Regression_Data (4)" sheetId="16" r:id="rId4"/>
    <sheet name="Robustness_Check" sheetId="17" r:id="rId5"/>
    <sheet name="FPI_LaggedReturns" sheetId="11" r:id="rId6"/>
    <sheet name="FPI_LaggedReturns_VIX" sheetId="12" r:id="rId7"/>
    <sheet name="FPI_LaggedReturns_VIX_LaggedFPI" sheetId="13" r:id="rId8"/>
    <sheet name="Sheet4" sheetId="14" r:id="rId9"/>
    <sheet name="Charts" sheetId="4" r:id="rId10"/>
  </sheets>
  <definedNames>
    <definedName name="solver_eng" localSheetId="3" hidden="1">1</definedName>
    <definedName name="solver_lin" localSheetId="3" hidden="1">2</definedName>
    <definedName name="solver_neg" localSheetId="3" hidden="1">1</definedName>
    <definedName name="solver_num" localSheetId="3" hidden="1">0</definedName>
    <definedName name="solver_opt" localSheetId="3" hidden="1">'Regression_Data (4)'!$M$6</definedName>
    <definedName name="solver_typ" localSheetId="3" hidden="1">1</definedName>
    <definedName name="solver_val" localSheetId="3" hidden="1">0</definedName>
    <definedName name="solver_ver" localSheetId="3" hidden="1">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16" l="1"/>
  <c r="J10" i="16"/>
  <c r="J8" i="16"/>
  <c r="F60" i="16"/>
  <c r="E60" i="16"/>
  <c r="D60" i="16"/>
  <c r="F59" i="16"/>
  <c r="E59" i="16"/>
  <c r="D59" i="16"/>
  <c r="F58" i="16"/>
  <c r="E58" i="16"/>
  <c r="D58" i="16"/>
  <c r="F57" i="16"/>
  <c r="E57" i="16"/>
  <c r="D57" i="16"/>
  <c r="F56" i="16"/>
  <c r="E56" i="16"/>
  <c r="D56" i="16"/>
  <c r="F55" i="16"/>
  <c r="E55" i="16"/>
  <c r="D55" i="16"/>
  <c r="F54" i="16"/>
  <c r="E54" i="16"/>
  <c r="D54" i="16"/>
  <c r="F53" i="16"/>
  <c r="E53" i="16"/>
  <c r="D53" i="16"/>
  <c r="F52" i="16"/>
  <c r="E52" i="16"/>
  <c r="D52" i="16"/>
  <c r="F51" i="16"/>
  <c r="E51" i="16"/>
  <c r="D51" i="16"/>
  <c r="F50" i="16"/>
  <c r="E50" i="16"/>
  <c r="D50" i="16"/>
  <c r="F49" i="16"/>
  <c r="E49" i="16"/>
  <c r="D49" i="16"/>
  <c r="F48" i="16"/>
  <c r="E48" i="16"/>
  <c r="D48" i="16"/>
  <c r="F47" i="16"/>
  <c r="E47" i="16"/>
  <c r="D47" i="16"/>
  <c r="F46" i="16"/>
  <c r="E46" i="16"/>
  <c r="D46" i="16"/>
  <c r="F45" i="16"/>
  <c r="E45" i="16"/>
  <c r="D45" i="16"/>
  <c r="F43" i="16"/>
  <c r="E43" i="16"/>
  <c r="D43" i="16"/>
  <c r="F42" i="16"/>
  <c r="E42" i="16"/>
  <c r="D42" i="16"/>
  <c r="F41" i="16"/>
  <c r="E41" i="16"/>
  <c r="D41" i="16"/>
  <c r="F40" i="16"/>
  <c r="E40" i="16"/>
  <c r="D40" i="16"/>
  <c r="F39" i="16"/>
  <c r="E39" i="16"/>
  <c r="D39" i="16"/>
  <c r="F38" i="16"/>
  <c r="E38" i="16"/>
  <c r="D38" i="16"/>
  <c r="F37" i="16"/>
  <c r="E37" i="16"/>
  <c r="D37" i="16"/>
  <c r="F36" i="16"/>
  <c r="E36" i="16"/>
  <c r="D36" i="16"/>
  <c r="F35" i="16"/>
  <c r="E35" i="16"/>
  <c r="D35" i="16"/>
  <c r="F34" i="16"/>
  <c r="E34" i="16"/>
  <c r="D34" i="16"/>
  <c r="F33" i="16"/>
  <c r="E33" i="16"/>
  <c r="D33" i="16"/>
  <c r="F32" i="16"/>
  <c r="E32" i="16"/>
  <c r="D32" i="16"/>
  <c r="F31" i="16"/>
  <c r="E31" i="16"/>
  <c r="D31" i="16"/>
  <c r="F30" i="16"/>
  <c r="E30" i="16"/>
  <c r="D30" i="16"/>
  <c r="F29" i="16"/>
  <c r="E29" i="16"/>
  <c r="D29" i="16"/>
  <c r="F28" i="16"/>
  <c r="E28" i="16"/>
  <c r="D28" i="16"/>
  <c r="F27" i="16"/>
  <c r="E27" i="16"/>
  <c r="D27" i="16"/>
  <c r="F26" i="16"/>
  <c r="E26" i="16"/>
  <c r="D26" i="16"/>
  <c r="F25" i="16"/>
  <c r="E25" i="16"/>
  <c r="D25" i="16"/>
  <c r="F24" i="16"/>
  <c r="E24" i="16"/>
  <c r="D24" i="16"/>
  <c r="F23" i="16"/>
  <c r="E23" i="16"/>
  <c r="D23" i="16"/>
  <c r="F22" i="16"/>
  <c r="E22" i="16"/>
  <c r="D22" i="16"/>
  <c r="F21" i="16"/>
  <c r="E21" i="16"/>
  <c r="D21" i="16"/>
  <c r="F20" i="16"/>
  <c r="E20" i="16"/>
  <c r="D20" i="16"/>
  <c r="F19" i="16"/>
  <c r="E19" i="16"/>
  <c r="D19" i="16"/>
  <c r="F18" i="16"/>
  <c r="E18" i="16"/>
  <c r="D18" i="16"/>
  <c r="F17" i="16"/>
  <c r="E17" i="16"/>
  <c r="D17" i="16"/>
  <c r="F16" i="16"/>
  <c r="E16" i="16"/>
  <c r="D16" i="16"/>
  <c r="F15" i="16"/>
  <c r="E15" i="16"/>
  <c r="D15" i="16"/>
  <c r="F14" i="16"/>
  <c r="E14" i="16"/>
  <c r="D14" i="16"/>
  <c r="F13" i="16"/>
  <c r="E13" i="16"/>
  <c r="D13" i="16"/>
  <c r="F12" i="16"/>
  <c r="E12" i="16"/>
  <c r="D12" i="16"/>
  <c r="F11" i="16"/>
  <c r="E11" i="16"/>
  <c r="D11" i="16"/>
  <c r="F10" i="16"/>
  <c r="E10" i="16"/>
  <c r="D10" i="16"/>
  <c r="F9" i="16"/>
  <c r="E9" i="16"/>
  <c r="D9" i="16"/>
  <c r="F8" i="16"/>
  <c r="E8" i="16"/>
  <c r="D8" i="16"/>
  <c r="F7" i="16"/>
  <c r="E7" i="16"/>
  <c r="D7" i="16"/>
  <c r="F6" i="16"/>
  <c r="E6" i="16"/>
  <c r="D6" i="16"/>
  <c r="F5" i="16"/>
  <c r="E5" i="16"/>
  <c r="D5" i="16"/>
  <c r="F4" i="16"/>
  <c r="E4" i="16"/>
  <c r="D4" i="16"/>
  <c r="F3" i="16"/>
  <c r="E3" i="16"/>
  <c r="D3" i="16"/>
  <c r="J8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4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" i="9"/>
  <c r="D62" i="9"/>
  <c r="D61" i="9"/>
  <c r="D60" i="9"/>
  <c r="D59" i="9"/>
  <c r="D58" i="9"/>
  <c r="D57" i="9"/>
  <c r="D56" i="9"/>
  <c r="D55" i="9"/>
  <c r="D54" i="9"/>
  <c r="D53" i="9"/>
  <c r="D52" i="9"/>
  <c r="D51" i="9"/>
  <c r="D50" i="9"/>
  <c r="D49" i="9"/>
  <c r="D48" i="9"/>
  <c r="D47" i="9"/>
  <c r="D46" i="9"/>
  <c r="D45" i="9"/>
  <c r="D44" i="9"/>
  <c r="D43" i="9"/>
  <c r="D42" i="9"/>
  <c r="D41" i="9"/>
  <c r="D40" i="9"/>
  <c r="D39" i="9"/>
  <c r="D38" i="9"/>
  <c r="D37" i="9"/>
  <c r="D36" i="9"/>
  <c r="D35" i="9"/>
  <c r="D34" i="9"/>
  <c r="D33" i="9"/>
  <c r="D32" i="9"/>
  <c r="D31" i="9"/>
  <c r="D30" i="9"/>
  <c r="D29" i="9"/>
  <c r="D28" i="9"/>
  <c r="D27" i="9"/>
  <c r="D26" i="9"/>
  <c r="D25" i="9"/>
  <c r="D24" i="9"/>
  <c r="D23" i="9"/>
  <c r="D22" i="9"/>
  <c r="D21" i="9"/>
  <c r="D20" i="9"/>
  <c r="D19" i="9"/>
  <c r="D18" i="9"/>
  <c r="D17" i="9"/>
  <c r="D16" i="9"/>
  <c r="D15" i="9"/>
  <c r="D14" i="9"/>
  <c r="D13" i="9"/>
  <c r="D12" i="9"/>
  <c r="D11" i="9"/>
  <c r="D10" i="9"/>
  <c r="D9" i="9"/>
  <c r="D8" i="9"/>
  <c r="D7" i="9"/>
  <c r="D6" i="9"/>
  <c r="D5" i="9"/>
  <c r="D4" i="9"/>
  <c r="D3" i="9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4" i="6"/>
  <c r="D5" i="6"/>
  <c r="D6" i="6"/>
  <c r="D7" i="6"/>
  <c r="D8" i="6"/>
  <c r="D9" i="6"/>
  <c r="D10" i="6"/>
  <c r="D11" i="6"/>
  <c r="D12" i="6"/>
  <c r="D13" i="6"/>
  <c r="D3" i="6"/>
</calcChain>
</file>

<file path=xl/sharedStrings.xml><?xml version="1.0" encoding="utf-8"?>
<sst xmlns="http://schemas.openxmlformats.org/spreadsheetml/2006/main" count="188" uniqueCount="40">
  <si>
    <t>Month</t>
  </si>
  <si>
    <t>FPI net flow in INR Crores</t>
  </si>
  <si>
    <t>NIFTY50_change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</si>
  <si>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</si>
  <si>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</si>
  <si>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</si>
  <si>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</si>
  <si>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</si>
  <si>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</si>
  <si>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</si>
  <si>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</si>
  <si>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</si>
  <si>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</si>
  <si>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</si>
  <si>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</si>
  <si>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</si>
  <si>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</si>
  <si>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</si>
  <si>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</si>
  <si>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</si>
  <si>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</si>
  <si>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</si>
  <si>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</si>
  <si>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</si>
  <si>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</si>
  <si>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</si>
  <si>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</si>
  <si>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CBOE VIX</t>
  </si>
  <si>
    <t>Lagged FPI</t>
  </si>
  <si>
    <t>-</t>
  </si>
  <si>
    <t>X Variable 1</t>
  </si>
  <si>
    <t>RESIDUAL OUTPUT</t>
  </si>
  <si>
    <t>Observation</t>
  </si>
  <si>
    <t>Predicted Y</t>
  </si>
  <si>
    <t>Residuals</t>
  </si>
  <si>
    <t>X Variable 2</t>
  </si>
  <si>
    <t>Lagged NIFTY_50 change</t>
  </si>
  <si>
    <t xml:space="preserve"> </t>
  </si>
  <si>
    <t>X Variable 3</t>
  </si>
  <si>
    <t>Lagged_VIX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</si>
</sst>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rgb="FF666666"/>
      <name val="Arial"/>
      <family val="2"/>
    </font>
    <font>
      <b/>
      <sz val="12"/>
      <color theme="0"/>
      <name val="Arial"/>
      <family val="2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8">
    <xf numFmtId="0" fontId="0" fillId="0" borderId="0" xfId="0"/>
    <xf numFmtId="10" fontId="1" fillId="0" borderId="0" xfId="0" applyNumberFormat="1" applyFont="1"/>
    <xf numFmtId="0" fontId="2" fillId="0" borderId="0" xfId="0" applyFont="1"/>
    <xf numFmtId="17" fontId="0" fillId="0" borderId="0" xfId="0" applyNumberFormat="1"/>
    <xf numFmtId="0" fontId="3" fillId="0" borderId="0" xfId="0" applyFont="1"/>
    <xf numFmtId="0" fontId="2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3" xfId="0" applyFill="1" applyBorder="1"/>
    <xf numFmtId="0" fontId="0" fillId="0" borderId="3" xfId="0" applyBorder="1"/>
    <xf numFmtId="17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10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/>
    <xf numFmtId="0" fontId="5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Continuous"/>
    </xf>
    <xf numFmtId="2" fontId="1" fillId="0" borderId="0" xfId="0" applyNumberFormat="1" applyFont="1" applyAlignment="1">
      <alignment horizontal="center"/>
    </xf>
  </cellXfs>
  <cellStyles count="1">
    <cellStyle name="Normal" xfId="0" builtinId="0"/>
  </cellStyles>
  <dxfs count="35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4" formatCode="0.00%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666666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numFmt numFmtId="22" formatCode="mmm\-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4" formatCode="0.00%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666666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numFmt numFmtId="22" formatCode="mmm\-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4" formatCode="0.00%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666666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numFmt numFmtId="22" formatCode="mmm\-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666666"/>
        <name val="Arial"/>
        <family val="2"/>
        <scheme val="none"/>
      </font>
    </dxf>
    <dxf>
      <numFmt numFmtId="22" formatCode="mmm\-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Regression_Data!$D$1</c:f>
              <c:strCache>
                <c:ptCount val="1"/>
                <c:pt idx="0">
                  <c:v>NIFTY50_change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</c:marker>
          <c:trendline>
            <c:trendlineType val="linear"/>
            <c:dispRSqr val="1"/>
            <c:dispEq val="1"/>
            <c:trendlineLbl>
              <c:layout>
                <c:manualLayout>
                  <c:x val="0.12209049749842094"/>
                  <c:y val="-0.22961573578138611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 sz="1050" b="1"/>
                  </a:pPr>
                  <a:endParaRPr lang="en-US"/>
                </a:p>
              </c:txPr>
            </c:trendlineLbl>
          </c:trendline>
          <c:xVal>
            <c:numRef>
              <c:f>Regression_Data!$B$2:$B$62</c:f>
              <c:numCache>
                <c:formatCode>General</c:formatCode>
                <c:ptCount val="61"/>
                <c:pt idx="0">
                  <c:v>17022.64</c:v>
                </c:pt>
                <c:pt idx="1">
                  <c:v>-8835.9</c:v>
                </c:pt>
                <c:pt idx="2">
                  <c:v>-1957.8</c:v>
                </c:pt>
                <c:pt idx="3">
                  <c:v>12973.97</c:v>
                </c:pt>
                <c:pt idx="4">
                  <c:v>-7409.99</c:v>
                </c:pt>
                <c:pt idx="5">
                  <c:v>16555.95</c:v>
                </c:pt>
                <c:pt idx="6">
                  <c:v>27755.71</c:v>
                </c:pt>
                <c:pt idx="7">
                  <c:v>-12436.92</c:v>
                </c:pt>
                <c:pt idx="8">
                  <c:v>-2520.7600000000002</c:v>
                </c:pt>
                <c:pt idx="9">
                  <c:v>-29702.19</c:v>
                </c:pt>
                <c:pt idx="10">
                  <c:v>-28526.3</c:v>
                </c:pt>
                <c:pt idx="11">
                  <c:v>-38068.019999999997</c:v>
                </c:pt>
                <c:pt idx="12">
                  <c:v>-50067.58</c:v>
                </c:pt>
                <c:pt idx="13">
                  <c:v>-22688.37</c:v>
                </c:pt>
                <c:pt idx="14">
                  <c:v>-36517.86</c:v>
                </c:pt>
                <c:pt idx="15">
                  <c:v>-51422.03</c:v>
                </c:pt>
                <c:pt idx="16">
                  <c:v>1971.33</c:v>
                </c:pt>
                <c:pt idx="17">
                  <c:v>56521.1</c:v>
                </c:pt>
                <c:pt idx="18">
                  <c:v>-3955.31</c:v>
                </c:pt>
                <c:pt idx="19">
                  <c:v>-3080.12</c:v>
                </c:pt>
                <c:pt idx="20">
                  <c:v>33847.26</c:v>
                </c:pt>
                <c:pt idx="21">
                  <c:v>9170.68</c:v>
                </c:pt>
                <c:pt idx="22">
                  <c:v>-26543.75</c:v>
                </c:pt>
                <c:pt idx="23">
                  <c:v>-4139.12</c:v>
                </c:pt>
                <c:pt idx="24">
                  <c:v>5899.21</c:v>
                </c:pt>
                <c:pt idx="25">
                  <c:v>13544.79</c:v>
                </c:pt>
                <c:pt idx="26">
                  <c:v>48329.55</c:v>
                </c:pt>
                <c:pt idx="27">
                  <c:v>56257.7</c:v>
                </c:pt>
                <c:pt idx="28">
                  <c:v>47977.08</c:v>
                </c:pt>
                <c:pt idx="29">
                  <c:v>18337.82</c:v>
                </c:pt>
                <c:pt idx="30">
                  <c:v>-13810.39</c:v>
                </c:pt>
                <c:pt idx="31">
                  <c:v>-17875.46</c:v>
                </c:pt>
                <c:pt idx="32">
                  <c:v>24546.41</c:v>
                </c:pt>
                <c:pt idx="33">
                  <c:v>84537.43</c:v>
                </c:pt>
                <c:pt idx="34">
                  <c:v>-6593.34</c:v>
                </c:pt>
                <c:pt idx="35">
                  <c:v>31816.83</c:v>
                </c:pt>
                <c:pt idx="36">
                  <c:v>51996.2</c:v>
                </c:pt>
                <c:pt idx="37">
                  <c:v>-16260.02</c:v>
                </c:pt>
                <c:pt idx="38">
                  <c:v>-12910.86</c:v>
                </c:pt>
                <c:pt idx="39">
                  <c:v>41757.440000000002</c:v>
                </c:pt>
                <c:pt idx="40">
                  <c:v>48796.04</c:v>
                </c:pt>
                <c:pt idx="41">
                  <c:v>25493.29</c:v>
                </c:pt>
                <c:pt idx="42">
                  <c:v>93537.63</c:v>
                </c:pt>
                <c:pt idx="43">
                  <c:v>-96357.63</c:v>
                </c:pt>
                <c:pt idx="44">
                  <c:v>-21444</c:v>
                </c:pt>
                <c:pt idx="45">
                  <c:v>25938.34</c:v>
                </c:pt>
                <c:pt idx="46">
                  <c:v>-77211.03</c:v>
                </c:pt>
                <c:pt idx="47">
                  <c:v>-24300.63</c:v>
                </c:pt>
                <c:pt idx="48">
                  <c:v>32981.360000000001</c:v>
                </c:pt>
                <c:pt idx="49">
                  <c:v>-20189.93</c:v>
                </c:pt>
                <c:pt idx="50">
                  <c:v>30949.71</c:v>
                </c:pt>
                <c:pt idx="51">
                  <c:v>-7563.08</c:v>
                </c:pt>
                <c:pt idx="52">
                  <c:v>-5537.69</c:v>
                </c:pt>
                <c:pt idx="53">
                  <c:v>-20505</c:v>
                </c:pt>
                <c:pt idx="54">
                  <c:v>-12538.73</c:v>
                </c:pt>
                <c:pt idx="55">
                  <c:v>35597.89</c:v>
                </c:pt>
                <c:pt idx="56">
                  <c:v>2836.47</c:v>
                </c:pt>
                <c:pt idx="57">
                  <c:v>-38568.47</c:v>
                </c:pt>
                <c:pt idx="58">
                  <c:v>-29240.26</c:v>
                </c:pt>
                <c:pt idx="59">
                  <c:v>37804.46</c:v>
                </c:pt>
                <c:pt idx="60">
                  <c:v>-72732.05</c:v>
                </c:pt>
              </c:numCache>
            </c:numRef>
          </c:xVal>
          <c:yVal>
            <c:numRef>
              <c:f>Regression_Data!$D$2:$D$62</c:f>
              <c:numCache>
                <c:formatCode>0.00%</c:formatCode>
                <c:ptCount val="61"/>
                <c:pt idx="0">
                  <c:v>1.11E-2</c:v>
                </c:pt>
                <c:pt idx="1">
                  <c:v>-4.1000000000000003E-3</c:v>
                </c:pt>
                <c:pt idx="2">
                  <c:v>6.5000000000000002E-2</c:v>
                </c:pt>
                <c:pt idx="3">
                  <c:v>8.8999999999999999E-3</c:v>
                </c:pt>
                <c:pt idx="4">
                  <c:v>2.5999999999999999E-3</c:v>
                </c:pt>
                <c:pt idx="5">
                  <c:v>8.6900000000000005E-2</c:v>
                </c:pt>
                <c:pt idx="6">
                  <c:v>2.8400000000000002E-2</c:v>
                </c:pt>
                <c:pt idx="7">
                  <c:v>3.0000000000000001E-3</c:v>
                </c:pt>
                <c:pt idx="8">
                  <c:v>-3.9E-2</c:v>
                </c:pt>
                <c:pt idx="9">
                  <c:v>2.18E-2</c:v>
                </c:pt>
                <c:pt idx="10">
                  <c:v>-8.0000000000000004E-4</c:v>
                </c:pt>
                <c:pt idx="11">
                  <c:v>-3.15E-2</c:v>
                </c:pt>
                <c:pt idx="12">
                  <c:v>3.9899999999999998E-2</c:v>
                </c:pt>
                <c:pt idx="13">
                  <c:v>-2.07E-2</c:v>
                </c:pt>
                <c:pt idx="14">
                  <c:v>-3.0300000000000001E-2</c:v>
                </c:pt>
                <c:pt idx="15">
                  <c:v>-4.8500000000000001E-2</c:v>
                </c:pt>
                <c:pt idx="16">
                  <c:v>8.7300000000000003E-2</c:v>
                </c:pt>
                <c:pt idx="17">
                  <c:v>3.5000000000000003E-2</c:v>
                </c:pt>
                <c:pt idx="18">
                  <c:v>-3.7400000000000003E-2</c:v>
                </c:pt>
                <c:pt idx="19">
                  <c:v>5.3699999999999998E-2</c:v>
                </c:pt>
                <c:pt idx="20">
                  <c:v>4.1399999999999999E-2</c:v>
                </c:pt>
                <c:pt idx="21">
                  <c:v>-3.4799999999999998E-2</c:v>
                </c:pt>
                <c:pt idx="22">
                  <c:v>-2.4500000000000001E-2</c:v>
                </c:pt>
                <c:pt idx="23">
                  <c:v>-1.43E-2</c:v>
                </c:pt>
                <c:pt idx="24">
                  <c:v>-2.8999999999999998E-3</c:v>
                </c:pt>
                <c:pt idx="25">
                  <c:v>4.0599999999999997E-2</c:v>
                </c:pt>
                <c:pt idx="26">
                  <c:v>2.5999999999999999E-2</c:v>
                </c:pt>
                <c:pt idx="27">
                  <c:v>3.5299999999999998E-2</c:v>
                </c:pt>
                <c:pt idx="28">
                  <c:v>2.9399999999999999E-2</c:v>
                </c:pt>
                <c:pt idx="29">
                  <c:v>-2.53E-2</c:v>
                </c:pt>
                <c:pt idx="30">
                  <c:v>0.02</c:v>
                </c:pt>
                <c:pt idx="31">
                  <c:v>-2.8400000000000002E-2</c:v>
                </c:pt>
                <c:pt idx="32">
                  <c:v>5.5199999999999999E-2</c:v>
                </c:pt>
                <c:pt idx="33">
                  <c:v>7.9399999999999998E-2</c:v>
                </c:pt>
                <c:pt idx="34">
                  <c:v>-2.9999999999999997E-4</c:v>
                </c:pt>
                <c:pt idx="35">
                  <c:v>1.18E-2</c:v>
                </c:pt>
                <c:pt idx="36">
                  <c:v>1.5699999999999999E-2</c:v>
                </c:pt>
                <c:pt idx="37">
                  <c:v>1.24E-2</c:v>
                </c:pt>
                <c:pt idx="38">
                  <c:v>-3.3E-3</c:v>
                </c:pt>
                <c:pt idx="39">
                  <c:v>6.5699999999999995E-2</c:v>
                </c:pt>
                <c:pt idx="40">
                  <c:v>3.9199999999999999E-2</c:v>
                </c:pt>
                <c:pt idx="41">
                  <c:v>1.14E-2</c:v>
                </c:pt>
                <c:pt idx="42">
                  <c:v>2.2800000000000001E-2</c:v>
                </c:pt>
                <c:pt idx="43">
                  <c:v>-6.2199999999999998E-2</c:v>
                </c:pt>
                <c:pt idx="44">
                  <c:v>-3.0999999999999999E-3</c:v>
                </c:pt>
                <c:pt idx="45">
                  <c:v>-2.0199999999999999E-2</c:v>
                </c:pt>
                <c:pt idx="46">
                  <c:v>-5.7999999999999996E-3</c:v>
                </c:pt>
                <c:pt idx="47">
                  <c:v>-5.8900000000000001E-2</c:v>
                </c:pt>
                <c:pt idx="48">
                  <c:v>5.8299999999999998E-2</c:v>
                </c:pt>
                <c:pt idx="49">
                  <c:v>3.9300000000000002E-2</c:v>
                </c:pt>
                <c:pt idx="50">
                  <c:v>1.7100000000000001E-2</c:v>
                </c:pt>
                <c:pt idx="51">
                  <c:v>3.1E-2</c:v>
                </c:pt>
                <c:pt idx="52">
                  <c:v>-2.93E-2</c:v>
                </c:pt>
                <c:pt idx="53">
                  <c:v>-1.38E-2</c:v>
                </c:pt>
                <c:pt idx="54">
                  <c:v>7.4999999999999997E-3</c:v>
                </c:pt>
                <c:pt idx="55">
                  <c:v>4.5100000000000001E-2</c:v>
                </c:pt>
                <c:pt idx="56">
                  <c:v>1.8700000000000001E-2</c:v>
                </c:pt>
                <c:pt idx="57">
                  <c:v>-1.6000000000000001E-3</c:v>
                </c:pt>
                <c:pt idx="58">
                  <c:v>-3.1600000000000003E-2</c:v>
                </c:pt>
                <c:pt idx="59">
                  <c:v>1.4E-2</c:v>
                </c:pt>
                <c:pt idx="60">
                  <c:v>-5.16E-2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A54-8C49-BA92-5C005C1C8E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021568"/>
        <c:axId val="57988800"/>
      </c:scatterChart>
      <c:valAx>
        <c:axId val="58021568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crossAx val="57988800"/>
        <c:crosses val="autoZero"/>
        <c:crossBetween val="midCat"/>
      </c:valAx>
      <c:valAx>
        <c:axId val="57988800"/>
        <c:scaling>
          <c:orientation val="minMax"/>
        </c:scaling>
        <c:delete val="0"/>
        <c:axPos val="l"/>
        <c:majorGridlines/>
        <c:numFmt formatCode="0.00%" sourceLinked="1"/>
        <c:majorTickMark val="none"/>
        <c:minorTickMark val="none"/>
        <c:tickLblPos val="nextTo"/>
        <c:crossAx val="58021568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Regression_Data!$B$1</c:f>
              <c:strCache>
                <c:ptCount val="1"/>
                <c:pt idx="0">
                  <c:v>FPI net flow in INR Crores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Regression_Data!$A$2:$A$62</c:f>
              <c:numCache>
                <c:formatCode>mmm\-yy</c:formatCode>
                <c:ptCount val="61"/>
                <c:pt idx="0">
                  <c:v>44256</c:v>
                </c:pt>
                <c:pt idx="1">
                  <c:v>44287</c:v>
                </c:pt>
                <c:pt idx="2">
                  <c:v>44317</c:v>
                </c:pt>
                <c:pt idx="3">
                  <c:v>44348</c:v>
                </c:pt>
                <c:pt idx="4">
                  <c:v>44378</c:v>
                </c:pt>
                <c:pt idx="5">
                  <c:v>44409</c:v>
                </c:pt>
                <c:pt idx="6">
                  <c:v>44440</c:v>
                </c:pt>
                <c:pt idx="7">
                  <c:v>44470</c:v>
                </c:pt>
                <c:pt idx="8">
                  <c:v>44501</c:v>
                </c:pt>
                <c:pt idx="9">
                  <c:v>44531</c:v>
                </c:pt>
                <c:pt idx="10">
                  <c:v>44562</c:v>
                </c:pt>
                <c:pt idx="11">
                  <c:v>44593</c:v>
                </c:pt>
                <c:pt idx="12">
                  <c:v>44621</c:v>
                </c:pt>
                <c:pt idx="13">
                  <c:v>44652</c:v>
                </c:pt>
                <c:pt idx="14">
                  <c:v>44682</c:v>
                </c:pt>
                <c:pt idx="15">
                  <c:v>44713</c:v>
                </c:pt>
                <c:pt idx="16">
                  <c:v>44743</c:v>
                </c:pt>
                <c:pt idx="17">
                  <c:v>44774</c:v>
                </c:pt>
                <c:pt idx="18">
                  <c:v>44805</c:v>
                </c:pt>
                <c:pt idx="19">
                  <c:v>44835</c:v>
                </c:pt>
                <c:pt idx="20">
                  <c:v>44866</c:v>
                </c:pt>
                <c:pt idx="21">
                  <c:v>44896</c:v>
                </c:pt>
                <c:pt idx="22">
                  <c:v>44927</c:v>
                </c:pt>
                <c:pt idx="23">
                  <c:v>44958</c:v>
                </c:pt>
                <c:pt idx="24">
                  <c:v>44986</c:v>
                </c:pt>
                <c:pt idx="25">
                  <c:v>45017</c:v>
                </c:pt>
                <c:pt idx="26">
                  <c:v>45047</c:v>
                </c:pt>
                <c:pt idx="27">
                  <c:v>45078</c:v>
                </c:pt>
                <c:pt idx="28">
                  <c:v>45108</c:v>
                </c:pt>
                <c:pt idx="29">
                  <c:v>45139</c:v>
                </c:pt>
                <c:pt idx="30">
                  <c:v>45170</c:v>
                </c:pt>
                <c:pt idx="31">
                  <c:v>45200</c:v>
                </c:pt>
                <c:pt idx="32">
                  <c:v>45231</c:v>
                </c:pt>
                <c:pt idx="33">
                  <c:v>45261</c:v>
                </c:pt>
                <c:pt idx="34">
                  <c:v>45292</c:v>
                </c:pt>
                <c:pt idx="35">
                  <c:v>45323</c:v>
                </c:pt>
                <c:pt idx="36">
                  <c:v>45352</c:v>
                </c:pt>
                <c:pt idx="37">
                  <c:v>45383</c:v>
                </c:pt>
                <c:pt idx="38">
                  <c:v>45413</c:v>
                </c:pt>
                <c:pt idx="39">
                  <c:v>45444</c:v>
                </c:pt>
                <c:pt idx="40">
                  <c:v>45474</c:v>
                </c:pt>
                <c:pt idx="41">
                  <c:v>45505</c:v>
                </c:pt>
                <c:pt idx="42">
                  <c:v>45536</c:v>
                </c:pt>
                <c:pt idx="43">
                  <c:v>45566</c:v>
                </c:pt>
                <c:pt idx="44">
                  <c:v>45597</c:v>
                </c:pt>
                <c:pt idx="45">
                  <c:v>45627</c:v>
                </c:pt>
                <c:pt idx="46">
                  <c:v>45658</c:v>
                </c:pt>
                <c:pt idx="47">
                  <c:v>45689</c:v>
                </c:pt>
                <c:pt idx="48">
                  <c:v>45717</c:v>
                </c:pt>
                <c:pt idx="49">
                  <c:v>45748</c:v>
                </c:pt>
                <c:pt idx="50">
                  <c:v>45778</c:v>
                </c:pt>
                <c:pt idx="51">
                  <c:v>45809</c:v>
                </c:pt>
                <c:pt idx="52">
                  <c:v>45839</c:v>
                </c:pt>
                <c:pt idx="53">
                  <c:v>45870</c:v>
                </c:pt>
                <c:pt idx="54">
                  <c:v>45901</c:v>
                </c:pt>
                <c:pt idx="55">
                  <c:v>45931</c:v>
                </c:pt>
                <c:pt idx="56">
                  <c:v>45962</c:v>
                </c:pt>
                <c:pt idx="57">
                  <c:v>45992</c:v>
                </c:pt>
                <c:pt idx="58">
                  <c:v>46023</c:v>
                </c:pt>
                <c:pt idx="59">
                  <c:v>46054</c:v>
                </c:pt>
                <c:pt idx="60">
                  <c:v>46082</c:v>
                </c:pt>
              </c:numCache>
            </c:numRef>
          </c:cat>
          <c:val>
            <c:numRef>
              <c:f>Regression_Data!$B$2:$B$62</c:f>
              <c:numCache>
                <c:formatCode>General</c:formatCode>
                <c:ptCount val="61"/>
                <c:pt idx="0">
                  <c:v>17022.64</c:v>
                </c:pt>
                <c:pt idx="1">
                  <c:v>-8835.9</c:v>
                </c:pt>
                <c:pt idx="2">
                  <c:v>-1957.8</c:v>
                </c:pt>
                <c:pt idx="3">
                  <c:v>12973.97</c:v>
                </c:pt>
                <c:pt idx="4">
                  <c:v>-7409.99</c:v>
                </c:pt>
                <c:pt idx="5">
                  <c:v>16555.95</c:v>
                </c:pt>
                <c:pt idx="6">
                  <c:v>27755.71</c:v>
                </c:pt>
                <c:pt idx="7">
                  <c:v>-12436.92</c:v>
                </c:pt>
                <c:pt idx="8">
                  <c:v>-2520.7600000000002</c:v>
                </c:pt>
                <c:pt idx="9">
                  <c:v>-29702.19</c:v>
                </c:pt>
                <c:pt idx="10">
                  <c:v>-28526.3</c:v>
                </c:pt>
                <c:pt idx="11">
                  <c:v>-38068.019999999997</c:v>
                </c:pt>
                <c:pt idx="12">
                  <c:v>-50067.58</c:v>
                </c:pt>
                <c:pt idx="13">
                  <c:v>-22688.37</c:v>
                </c:pt>
                <c:pt idx="14">
                  <c:v>-36517.86</c:v>
                </c:pt>
                <c:pt idx="15">
                  <c:v>-51422.03</c:v>
                </c:pt>
                <c:pt idx="16">
                  <c:v>1971.33</c:v>
                </c:pt>
                <c:pt idx="17">
                  <c:v>56521.1</c:v>
                </c:pt>
                <c:pt idx="18">
                  <c:v>-3955.31</c:v>
                </c:pt>
                <c:pt idx="19">
                  <c:v>-3080.12</c:v>
                </c:pt>
                <c:pt idx="20">
                  <c:v>33847.26</c:v>
                </c:pt>
                <c:pt idx="21">
                  <c:v>9170.68</c:v>
                </c:pt>
                <c:pt idx="22">
                  <c:v>-26543.75</c:v>
                </c:pt>
                <c:pt idx="23">
                  <c:v>-4139.12</c:v>
                </c:pt>
                <c:pt idx="24">
                  <c:v>5899.21</c:v>
                </c:pt>
                <c:pt idx="25">
                  <c:v>13544.79</c:v>
                </c:pt>
                <c:pt idx="26">
                  <c:v>48329.55</c:v>
                </c:pt>
                <c:pt idx="27">
                  <c:v>56257.7</c:v>
                </c:pt>
                <c:pt idx="28">
                  <c:v>47977.08</c:v>
                </c:pt>
                <c:pt idx="29">
                  <c:v>18337.82</c:v>
                </c:pt>
                <c:pt idx="30">
                  <c:v>-13810.39</c:v>
                </c:pt>
                <c:pt idx="31">
                  <c:v>-17875.46</c:v>
                </c:pt>
                <c:pt idx="32">
                  <c:v>24546.41</c:v>
                </c:pt>
                <c:pt idx="33">
                  <c:v>84537.43</c:v>
                </c:pt>
                <c:pt idx="34">
                  <c:v>-6593.34</c:v>
                </c:pt>
                <c:pt idx="35">
                  <c:v>31816.83</c:v>
                </c:pt>
                <c:pt idx="36">
                  <c:v>51996.2</c:v>
                </c:pt>
                <c:pt idx="37">
                  <c:v>-16260.02</c:v>
                </c:pt>
                <c:pt idx="38">
                  <c:v>-12910.86</c:v>
                </c:pt>
                <c:pt idx="39">
                  <c:v>41757.440000000002</c:v>
                </c:pt>
                <c:pt idx="40">
                  <c:v>48796.04</c:v>
                </c:pt>
                <c:pt idx="41">
                  <c:v>25493.29</c:v>
                </c:pt>
                <c:pt idx="42">
                  <c:v>93537.63</c:v>
                </c:pt>
                <c:pt idx="43">
                  <c:v>-96357.63</c:v>
                </c:pt>
                <c:pt idx="44">
                  <c:v>-21444</c:v>
                </c:pt>
                <c:pt idx="45">
                  <c:v>25938.34</c:v>
                </c:pt>
                <c:pt idx="46">
                  <c:v>-77211.03</c:v>
                </c:pt>
                <c:pt idx="47">
                  <c:v>-24300.63</c:v>
                </c:pt>
                <c:pt idx="48">
                  <c:v>32981.360000000001</c:v>
                </c:pt>
                <c:pt idx="49">
                  <c:v>-20189.93</c:v>
                </c:pt>
                <c:pt idx="50">
                  <c:v>30949.71</c:v>
                </c:pt>
                <c:pt idx="51">
                  <c:v>-7563.08</c:v>
                </c:pt>
                <c:pt idx="52">
                  <c:v>-5537.69</c:v>
                </c:pt>
                <c:pt idx="53">
                  <c:v>-20505</c:v>
                </c:pt>
                <c:pt idx="54">
                  <c:v>-12538.73</c:v>
                </c:pt>
                <c:pt idx="55">
                  <c:v>35597.89</c:v>
                </c:pt>
                <c:pt idx="56">
                  <c:v>2836.47</c:v>
                </c:pt>
                <c:pt idx="57">
                  <c:v>-38568.47</c:v>
                </c:pt>
                <c:pt idx="58">
                  <c:v>-29240.26</c:v>
                </c:pt>
                <c:pt idx="59">
                  <c:v>37804.46</c:v>
                </c:pt>
                <c:pt idx="60">
                  <c:v>-72732.05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0C-BA46-ABD6-5680BBD82E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534656"/>
        <c:axId val="19542720"/>
      </c:lineChart>
      <c:dateAx>
        <c:axId val="19534656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42720"/>
        <c:crosses val="autoZero"/>
        <c:auto val="1"/>
        <c:lblOffset val="100"/>
        <c:baseTimeUnit val="months"/>
      </c:dateAx>
      <c:valAx>
        <c:axId val="19542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34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139701</xdr:colOff>
      <xdr:row>0</xdr:row>
      <xdr:rowOff>88900</xdr:rowOff>
    </xdr:from>
    <xdr:to>
      <xdr:col>16</xdr:col>
      <xdr:colOff>533401</xdr:colOff>
      <xdr:row>35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216F06B-5817-D14D-9852-F212BEAF17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787400</xdr:colOff>
      <xdr:row>0</xdr:row>
      <xdr:rowOff>50800</xdr:rowOff>
    </xdr:from>
    <xdr:to>
      <xdr:col>32</xdr:col>
      <xdr:colOff>558800</xdr:colOff>
      <xdr:row>36</xdr:row>
      <xdr:rowOff>50800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6FF9D75-9530-06A9-E5C0-86D0DF97AF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3DDB5E-4546-3D44-B91E-6C32F4867541}" name="Table1" displayName="Table1" ref="A1:B62" totalsRowShown="0">
  <autoFilter ref="A1:B62" xr:uid="{693DDB5E-4546-3D44-B91E-6C32F4867541}"/>
  <tableColumns count="2">
    <tableColumn id="1" xr3:uid="{E243E0E3-3D24-5148-8373-E132662306FB}" name="Month" dataDxfId="34"/>
    <tableColumn id="2" xr3:uid="{41581E1A-C974-3E42-A064-1666764C8336}" name="FPI net flow in INR Crores" dataDxfId="3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49742C6-3246-194D-8577-93441BE2B847}" name="Table3" displayName="Table3" ref="C1:D62" totalsRowShown="0">
  <autoFilter ref="C1:D62" xr:uid="{A49742C6-3246-194D-8577-93441BE2B847}"/>
  <tableColumns count="2">
    <tableColumn id="1" xr3:uid="{25B5312C-3028-4A4E-801B-A9D24CA45DB5}" name="CBOE VIX"/>
    <tableColumn id="2" xr3:uid="{35C50B11-653A-1143-BAE8-BD633B8BC4A8}" name="NIFTY50_change" dataDxfId="3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0EAC6AF-5A74-9A40-B655-D26657D422BD}" name="Table13" displayName="Table13" ref="A1:B62" totalsRowShown="0" headerRowDxfId="31" dataDxfId="30">
  <autoFilter ref="A1:B62" xr:uid="{693DDB5E-4546-3D44-B91E-6C32F4867541}"/>
  <tableColumns count="2">
    <tableColumn id="1" xr3:uid="{C94CDEC5-97FD-DB4F-94C2-8317E9A278A7}" name="Month" dataDxfId="29"/>
    <tableColumn id="2" xr3:uid="{7C77BB50-1FD1-3C45-B6F5-EAD55EE0A0F3}" name="FPI net flow in INR Crores" dataDxfId="2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F386B65-1F08-3E49-AC6E-C445A5C501F2}" name="Table35" displayName="Table35" ref="C1:D62" totalsRowShown="0" headerRowDxfId="27" dataDxfId="26">
  <autoFilter ref="C1:D62" xr:uid="{A49742C6-3246-194D-8577-93441BE2B847}"/>
  <tableColumns count="2">
    <tableColumn id="2" xr3:uid="{BF282ED1-3F98-9D49-9F3A-24E912A49777}" name="NIFTY50_change" dataDxfId="25"/>
    <tableColumn id="1" xr3:uid="{4E0EC7B2-FC11-9D4A-9A31-CF0D46EC5CFF}" name="Lagged FPI" dataDxfId="2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5AFD940-2318-C44A-A31A-77055C90C899}" name="Table136" displayName="Table136" ref="A1:B62" totalsRowShown="0" headerRowDxfId="23" dataDxfId="22">
  <autoFilter ref="A1:B62" xr:uid="{693DDB5E-4546-3D44-B91E-6C32F4867541}"/>
  <tableColumns count="2">
    <tableColumn id="1" xr3:uid="{D28A5BF8-7CF3-2A46-AEBC-E99E3BA447D1}" name="Month" dataDxfId="21"/>
    <tableColumn id="2" xr3:uid="{25B20405-D01B-CF43-B0CF-F75540F73E15}" name="FPI net flow in INR Crores" dataDxfId="2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8CC1BF5-416F-9348-B506-C163A5FEC6EE}" name="Table357" displayName="Table357" ref="C1:D62" totalsRowShown="0" headerRowDxfId="19" dataDxfId="18">
  <autoFilter ref="C1:D62" xr:uid="{A49742C6-3246-194D-8577-93441BE2B847}"/>
  <tableColumns count="2">
    <tableColumn id="2" xr3:uid="{FFA14074-179B-7D41-805D-E331CB40C83D}" name="NIFTY50_change" dataDxfId="17"/>
    <tableColumn id="1" xr3:uid="{06DBDAB7-EC9C-5549-95A5-CAA9A187A7BB}" name="Lagged FPI" dataDxfId="1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C5C6C07-7A19-634B-9B60-727D4D8969CF}" name="Table7" displayName="Table7" ref="E1:F62" totalsRowShown="0" headerRowDxfId="15" dataDxfId="14">
  <autoFilter ref="E1:F62" xr:uid="{AC5C6C07-7A19-634B-9B60-727D4D8969CF}"/>
  <tableColumns count="2">
    <tableColumn id="2" xr3:uid="{8EF83C99-4541-E349-A7D2-2A3138ECF6FF}" name="Lagged NIFTY_50 change" dataDxfId="13"/>
    <tableColumn id="3" xr3:uid="{AE478503-D64D-1843-A85F-112F6167827D}" name="Lagged_VIX" dataDxfId="1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08F04C3-63D7-FF4D-8A0A-972A8325F8D5}" name="Table13612" displayName="Table13612" ref="A1:B60" totalsRowShown="0" headerRowDxfId="11" dataDxfId="10">
  <autoFilter ref="A1:B60" xr:uid="{693DDB5E-4546-3D44-B91E-6C32F4867541}"/>
  <tableColumns count="2">
    <tableColumn id="1" xr3:uid="{B51C61BA-8BBF-8743-A46C-15DD3D6450AF}" name="Month" dataDxfId="9"/>
    <tableColumn id="2" xr3:uid="{D618DAD7-2D6C-8447-AA68-456ECD34F2F8}" name="FPI net flow in INR Crores" dataDxfId="8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79F9CD0-012E-7744-AA15-2485C2BEF0FA}" name="Table35713" displayName="Table35713" ref="C1:D60" totalsRowShown="0" headerRowDxfId="7" dataDxfId="6">
  <autoFilter ref="C1:D60" xr:uid="{A49742C6-3246-194D-8577-93441BE2B847}"/>
  <tableColumns count="2">
    <tableColumn id="2" xr3:uid="{B05BB8AF-FC93-A443-A1F3-B2B82529A753}" name="NIFTY50_change" dataDxfId="5"/>
    <tableColumn id="1" xr3:uid="{988D7C3D-363C-D64B-8CD5-49A4F7BA28BE}" name="Lagged FPI" dataDxfId="4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46CA526-C95F-A74E-86BF-0F49D9CEE319}" name="Table714" displayName="Table714" ref="E1:F60" totalsRowShown="0" headerRowDxfId="3" dataDxfId="2">
  <autoFilter ref="E1:F60" xr:uid="{AC5C6C07-7A19-634B-9B60-727D4D8969CF}"/>
  <tableColumns count="2">
    <tableColumn id="2" xr3:uid="{30416ADF-99C2-9A42-B536-B06FF6F66AEC}" name="Lagged NIFTY_50 change" dataDxfId="1"/>
    <tableColumn id="3" xr3:uid="{830EB9A0-90E5-8B4E-9BC3-32BA481B1831}" name="Lagged_VIX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A7CFC-9111-0B49-818B-F479E473BAA6}">
  <dimension ref="A1:J63"/>
  <sheetViews>
    <sheetView zoomScale="70" zoomScaleNormal="70" workbookViewId="0">
      <selection activeCell="O17" sqref="O17"/>
    </sheetView>
  </sheetViews>
  <sheetFormatPr baseColWidth="10" defaultRowHeight="16" x14ac:dyDescent="0.2"/>
  <cols>
    <col min="1" max="1" width="11.33203125" customWidth="1"/>
    <col min="2" max="2" width="28.1640625" bestFit="1" customWidth="1"/>
    <col min="3" max="3" width="11.5" bestFit="1" customWidth="1"/>
    <col min="4" max="4" width="22.5" bestFit="1" customWidth="1"/>
    <col min="5" max="5" width="15.6640625" bestFit="1" customWidth="1"/>
  </cols>
  <sheetData>
    <row r="1" spans="1:10" x14ac:dyDescent="0.2">
      <c r="A1" s="7" t="s">
        <v>0</v>
      </c>
      <c r="B1" s="4" t="s">
        <v>1</v>
      </c>
      <c r="C1" t="s">
        <v>27</v>
      </c>
      <c r="D1" s="6" t="s">
        <v>2</v>
      </c>
    </row>
    <row r="2" spans="1:10" x14ac:dyDescent="0.2">
      <c r="A2" s="3">
        <v>44256</v>
      </c>
      <c r="B2" s="2">
        <v>17022.64</v>
      </c>
      <c r="C2">
        <v>19.399999999999999</v>
      </c>
      <c r="D2" s="1">
        <v>1.11E-2</v>
      </c>
    </row>
    <row r="3" spans="1:10" x14ac:dyDescent="0.2">
      <c r="A3" s="3">
        <v>44287</v>
      </c>
      <c r="B3" s="2">
        <v>-8835.9</v>
      </c>
      <c r="C3">
        <v>18.61</v>
      </c>
      <c r="D3" s="1">
        <v>-4.1000000000000003E-3</v>
      </c>
      <c r="E3" s="1"/>
      <c r="F3" s="1"/>
      <c r="G3" s="1"/>
      <c r="H3" s="1"/>
      <c r="I3" s="1"/>
      <c r="J3" s="1"/>
    </row>
    <row r="4" spans="1:10" x14ac:dyDescent="0.2">
      <c r="A4" s="3">
        <v>44317</v>
      </c>
      <c r="B4" s="2">
        <v>-1957.8</v>
      </c>
      <c r="C4">
        <v>16.760000000000002</v>
      </c>
      <c r="D4" s="1">
        <v>6.5000000000000002E-2</v>
      </c>
      <c r="E4" s="1"/>
      <c r="F4" s="1"/>
      <c r="G4" s="1"/>
      <c r="H4" s="1"/>
      <c r="I4" s="1"/>
      <c r="J4" s="1"/>
    </row>
    <row r="5" spans="1:10" x14ac:dyDescent="0.2">
      <c r="A5" s="3">
        <v>44348</v>
      </c>
      <c r="B5" s="2">
        <v>12973.97</v>
      </c>
      <c r="C5">
        <v>15.83</v>
      </c>
      <c r="D5" s="1">
        <v>8.8999999999999999E-3</v>
      </c>
      <c r="E5" s="1"/>
      <c r="F5" s="1"/>
      <c r="G5" s="1"/>
      <c r="H5" s="1"/>
      <c r="I5" s="1"/>
      <c r="J5" s="1"/>
    </row>
    <row r="6" spans="1:10" x14ac:dyDescent="0.2">
      <c r="A6" s="3">
        <v>44378</v>
      </c>
      <c r="B6" s="2">
        <v>-7409.99</v>
      </c>
      <c r="C6">
        <v>18.239999999999998</v>
      </c>
      <c r="D6" s="1">
        <v>2.5999999999999999E-3</v>
      </c>
      <c r="E6" s="1"/>
      <c r="F6" s="1"/>
      <c r="G6" s="1"/>
      <c r="H6" s="1"/>
      <c r="I6" s="1"/>
      <c r="J6" s="1"/>
    </row>
    <row r="7" spans="1:10" x14ac:dyDescent="0.2">
      <c r="A7" s="3">
        <v>44409</v>
      </c>
      <c r="B7" s="2">
        <v>16555.95</v>
      </c>
      <c r="C7">
        <v>16.48</v>
      </c>
      <c r="D7" s="1">
        <v>8.6900000000000005E-2</v>
      </c>
      <c r="E7" s="1"/>
      <c r="F7" s="1"/>
      <c r="G7" s="1"/>
      <c r="H7" s="1"/>
      <c r="I7" s="1"/>
      <c r="J7" s="1"/>
    </row>
    <row r="8" spans="1:10" x14ac:dyDescent="0.2">
      <c r="A8" s="3">
        <v>44440</v>
      </c>
      <c r="B8" s="2">
        <v>27755.71</v>
      </c>
      <c r="C8">
        <v>23.14</v>
      </c>
      <c r="D8" s="1">
        <v>2.8400000000000002E-2</v>
      </c>
      <c r="E8" s="1"/>
      <c r="F8" s="1"/>
      <c r="G8" s="1"/>
      <c r="H8" s="1"/>
      <c r="I8" s="1"/>
      <c r="J8" s="1"/>
    </row>
    <row r="9" spans="1:10" x14ac:dyDescent="0.2">
      <c r="A9" s="3">
        <v>44470</v>
      </c>
      <c r="B9" s="2">
        <v>-12436.92</v>
      </c>
      <c r="C9">
        <v>16.260000000000002</v>
      </c>
      <c r="D9" s="1">
        <v>3.0000000000000001E-3</v>
      </c>
      <c r="E9" s="1"/>
      <c r="F9" s="1"/>
      <c r="G9" s="1"/>
      <c r="H9" s="1"/>
      <c r="I9" s="1"/>
    </row>
    <row r="10" spans="1:10" x14ac:dyDescent="0.2">
      <c r="A10" s="3">
        <v>44501</v>
      </c>
      <c r="B10" s="2">
        <v>-2520.7600000000002</v>
      </c>
      <c r="C10">
        <v>27.19</v>
      </c>
      <c r="D10" s="1">
        <v>-3.9E-2</v>
      </c>
      <c r="E10" s="1"/>
      <c r="F10" s="1"/>
      <c r="G10" s="1"/>
      <c r="H10" s="1"/>
      <c r="I10" s="1"/>
    </row>
    <row r="11" spans="1:10" x14ac:dyDescent="0.2">
      <c r="A11" s="3">
        <v>44531</v>
      </c>
      <c r="B11" s="2">
        <v>-29702.19</v>
      </c>
      <c r="C11">
        <v>17.22</v>
      </c>
      <c r="D11" s="1">
        <v>2.18E-2</v>
      </c>
      <c r="E11" s="1"/>
      <c r="F11" s="1"/>
      <c r="G11" s="1"/>
      <c r="H11" s="1"/>
      <c r="I11" s="1"/>
    </row>
    <row r="12" spans="1:10" x14ac:dyDescent="0.2">
      <c r="A12" s="3">
        <v>44562</v>
      </c>
      <c r="B12" s="5">
        <v>-28526.3</v>
      </c>
      <c r="C12">
        <v>24.87</v>
      </c>
      <c r="D12" s="1">
        <v>-8.0000000000000004E-4</v>
      </c>
      <c r="E12" s="1"/>
      <c r="F12" s="1"/>
      <c r="G12" s="1"/>
      <c r="H12" s="1"/>
      <c r="I12" s="1"/>
    </row>
    <row r="13" spans="1:10" x14ac:dyDescent="0.2">
      <c r="A13" s="3">
        <v>44593</v>
      </c>
      <c r="B13" s="2">
        <v>-38068.019999999997</v>
      </c>
      <c r="C13">
        <v>30.15</v>
      </c>
      <c r="D13" s="1">
        <v>-3.15E-2</v>
      </c>
    </row>
    <row r="14" spans="1:10" x14ac:dyDescent="0.2">
      <c r="A14" s="3">
        <v>44621</v>
      </c>
      <c r="B14" s="2">
        <v>-50067.58</v>
      </c>
      <c r="C14">
        <v>20.56</v>
      </c>
      <c r="D14" s="1">
        <v>3.9899999999999998E-2</v>
      </c>
    </row>
    <row r="15" spans="1:10" x14ac:dyDescent="0.2">
      <c r="A15" s="3">
        <v>44652</v>
      </c>
      <c r="B15" s="2">
        <v>-22688.37</v>
      </c>
      <c r="C15">
        <v>33.4</v>
      </c>
      <c r="D15" s="1">
        <v>-2.07E-2</v>
      </c>
      <c r="E15" s="1"/>
      <c r="F15" s="1"/>
      <c r="G15" s="1"/>
      <c r="H15" s="1"/>
      <c r="I15" s="1"/>
    </row>
    <row r="16" spans="1:10" x14ac:dyDescent="0.2">
      <c r="A16" s="3">
        <v>44682</v>
      </c>
      <c r="B16" s="2">
        <v>-36517.86</v>
      </c>
      <c r="C16">
        <v>26.19</v>
      </c>
      <c r="D16" s="1">
        <v>-3.0300000000000001E-2</v>
      </c>
      <c r="E16" s="1"/>
      <c r="F16" s="1"/>
      <c r="G16" s="1"/>
      <c r="H16" s="1"/>
      <c r="I16" s="1"/>
    </row>
    <row r="17" spans="1:9" x14ac:dyDescent="0.2">
      <c r="A17" s="3">
        <v>44713</v>
      </c>
      <c r="B17" s="2">
        <v>-51422.03</v>
      </c>
      <c r="C17">
        <v>28.71</v>
      </c>
      <c r="D17" s="1">
        <v>-4.8500000000000001E-2</v>
      </c>
      <c r="E17" s="1"/>
      <c r="F17" s="1"/>
      <c r="G17" s="1"/>
      <c r="H17" s="1"/>
      <c r="I17" s="1"/>
    </row>
    <row r="18" spans="1:9" x14ac:dyDescent="0.2">
      <c r="A18" s="3">
        <v>44743</v>
      </c>
      <c r="B18" s="2">
        <v>1971.33</v>
      </c>
      <c r="C18">
        <v>21.33</v>
      </c>
      <c r="D18" s="1">
        <v>8.7300000000000003E-2</v>
      </c>
      <c r="E18" s="1"/>
      <c r="F18" s="1"/>
      <c r="G18" s="1"/>
      <c r="H18" s="1"/>
      <c r="I18" s="1"/>
    </row>
    <row r="19" spans="1:9" x14ac:dyDescent="0.2">
      <c r="A19" s="3">
        <v>44774</v>
      </c>
      <c r="B19" s="2">
        <v>56521.1</v>
      </c>
      <c r="C19">
        <v>25.87</v>
      </c>
      <c r="D19" s="1">
        <v>3.5000000000000003E-2</v>
      </c>
      <c r="E19" s="1"/>
      <c r="F19" s="1"/>
      <c r="G19" s="1"/>
      <c r="H19" s="1"/>
      <c r="I19" s="1"/>
    </row>
    <row r="20" spans="1:9" x14ac:dyDescent="0.2">
      <c r="A20" s="3">
        <v>44805</v>
      </c>
      <c r="B20" s="2">
        <v>-3955.31</v>
      </c>
      <c r="C20">
        <v>31.62</v>
      </c>
      <c r="D20" s="1">
        <v>-3.7400000000000003E-2</v>
      </c>
      <c r="E20" s="1"/>
      <c r="F20" s="1"/>
      <c r="G20" s="1"/>
      <c r="H20" s="1"/>
      <c r="I20" s="1"/>
    </row>
    <row r="21" spans="1:9" x14ac:dyDescent="0.2">
      <c r="A21" s="3">
        <v>44835</v>
      </c>
      <c r="B21" s="2">
        <v>-3080.12</v>
      </c>
      <c r="C21">
        <v>25.88</v>
      </c>
      <c r="D21" s="1">
        <v>5.3699999999999998E-2</v>
      </c>
      <c r="E21" s="1"/>
      <c r="F21" s="1"/>
      <c r="G21" s="1"/>
      <c r="H21" s="1"/>
      <c r="I21" s="1"/>
    </row>
    <row r="22" spans="1:9" x14ac:dyDescent="0.2">
      <c r="A22" s="3">
        <v>44866</v>
      </c>
      <c r="B22" s="2">
        <v>33847.26</v>
      </c>
      <c r="C22">
        <v>20.57</v>
      </c>
      <c r="D22" s="1">
        <v>4.1399999999999999E-2</v>
      </c>
      <c r="E22" s="1"/>
      <c r="F22" s="1"/>
      <c r="G22" s="1"/>
      <c r="H22" s="1"/>
      <c r="I22" s="1"/>
    </row>
    <row r="23" spans="1:9" x14ac:dyDescent="0.2">
      <c r="A23" s="3">
        <v>44896</v>
      </c>
      <c r="B23" s="2">
        <v>9170.68</v>
      </c>
      <c r="C23">
        <v>21.67</v>
      </c>
      <c r="D23" s="1">
        <v>-3.4799999999999998E-2</v>
      </c>
      <c r="E23" s="1"/>
      <c r="F23" s="1"/>
      <c r="G23" s="1"/>
      <c r="H23" s="1"/>
      <c r="I23" s="1"/>
    </row>
    <row r="24" spans="1:9" x14ac:dyDescent="0.2">
      <c r="A24" s="3">
        <v>44927</v>
      </c>
      <c r="B24" s="2">
        <v>-26543.75</v>
      </c>
      <c r="C24">
        <v>18.399999999999999</v>
      </c>
      <c r="D24" s="1">
        <v>-2.4500000000000001E-2</v>
      </c>
      <c r="E24" s="1"/>
      <c r="F24" s="1"/>
      <c r="G24" s="1"/>
      <c r="H24" s="1"/>
      <c r="I24" s="1"/>
    </row>
    <row r="25" spans="1:9" x14ac:dyDescent="0.2">
      <c r="A25" s="3">
        <v>44958</v>
      </c>
      <c r="B25" s="2">
        <v>-4139.12</v>
      </c>
      <c r="C25">
        <v>20.7</v>
      </c>
      <c r="D25" s="1">
        <v>-1.43E-2</v>
      </c>
    </row>
    <row r="26" spans="1:9" x14ac:dyDescent="0.2">
      <c r="A26" s="3">
        <v>44986</v>
      </c>
      <c r="B26" s="2">
        <v>5899.21</v>
      </c>
      <c r="C26">
        <v>18.7</v>
      </c>
      <c r="D26" s="1">
        <v>-2.8999999999999998E-3</v>
      </c>
    </row>
    <row r="27" spans="1:9" x14ac:dyDescent="0.2">
      <c r="A27" s="3">
        <v>45017</v>
      </c>
      <c r="B27" s="2">
        <v>13544.79</v>
      </c>
      <c r="C27">
        <v>15.78</v>
      </c>
      <c r="D27" s="1">
        <v>4.0599999999999997E-2</v>
      </c>
    </row>
    <row r="28" spans="1:9" x14ac:dyDescent="0.2">
      <c r="A28" s="3">
        <v>45047</v>
      </c>
      <c r="B28" s="2">
        <v>48329.55</v>
      </c>
      <c r="C28">
        <v>17.940000000000001</v>
      </c>
      <c r="D28" s="1">
        <v>2.5999999999999999E-2</v>
      </c>
    </row>
    <row r="29" spans="1:9" x14ac:dyDescent="0.2">
      <c r="A29" s="3">
        <v>45078</v>
      </c>
      <c r="B29" s="2">
        <v>56257.7</v>
      </c>
      <c r="C29">
        <v>13.59</v>
      </c>
      <c r="D29" s="1">
        <v>3.5299999999999998E-2</v>
      </c>
    </row>
    <row r="30" spans="1:9" x14ac:dyDescent="0.2">
      <c r="A30" s="3">
        <v>45108</v>
      </c>
      <c r="B30" s="2">
        <v>47977.08</v>
      </c>
      <c r="C30">
        <v>13.33</v>
      </c>
      <c r="D30" s="1">
        <v>2.9399999999999999E-2</v>
      </c>
    </row>
    <row r="31" spans="1:9" x14ac:dyDescent="0.2">
      <c r="A31" s="3">
        <v>45139</v>
      </c>
      <c r="B31" s="2">
        <v>18337.82</v>
      </c>
      <c r="C31">
        <v>13.57</v>
      </c>
      <c r="D31" s="1">
        <v>-2.53E-2</v>
      </c>
    </row>
    <row r="32" spans="1:9" x14ac:dyDescent="0.2">
      <c r="A32" s="3">
        <v>45170</v>
      </c>
      <c r="B32" s="2">
        <v>-13810.39</v>
      </c>
      <c r="C32">
        <v>17.52</v>
      </c>
      <c r="D32" s="1">
        <v>0.02</v>
      </c>
    </row>
    <row r="33" spans="1:4" x14ac:dyDescent="0.2">
      <c r="A33" s="3">
        <v>45200</v>
      </c>
      <c r="B33" s="2">
        <v>-17875.46</v>
      </c>
      <c r="C33">
        <v>18.14</v>
      </c>
      <c r="D33" s="1">
        <v>-2.8400000000000002E-2</v>
      </c>
    </row>
    <row r="34" spans="1:4" x14ac:dyDescent="0.2">
      <c r="A34" s="3">
        <v>45231</v>
      </c>
      <c r="B34" s="2">
        <v>24546.41</v>
      </c>
      <c r="C34">
        <v>12.92</v>
      </c>
      <c r="D34" s="1">
        <v>5.5199999999999999E-2</v>
      </c>
    </row>
    <row r="35" spans="1:4" x14ac:dyDescent="0.2">
      <c r="A35" s="3">
        <v>45261</v>
      </c>
      <c r="B35" s="2">
        <v>84537.43</v>
      </c>
      <c r="C35">
        <v>12.45</v>
      </c>
      <c r="D35" s="1">
        <v>7.9399999999999998E-2</v>
      </c>
    </row>
    <row r="36" spans="1:4" x14ac:dyDescent="0.2">
      <c r="A36" s="3">
        <v>45292</v>
      </c>
      <c r="B36" s="2">
        <v>-6593.34</v>
      </c>
      <c r="C36">
        <v>14.35</v>
      </c>
      <c r="D36" s="1">
        <v>-2.9999999999999997E-4</v>
      </c>
    </row>
    <row r="37" spans="1:4" x14ac:dyDescent="0.2">
      <c r="A37" s="3">
        <v>45323</v>
      </c>
      <c r="B37" s="2">
        <v>31816.83</v>
      </c>
      <c r="C37">
        <v>13.4</v>
      </c>
      <c r="D37" s="1">
        <v>1.18E-2</v>
      </c>
    </row>
    <row r="38" spans="1:4" x14ac:dyDescent="0.2">
      <c r="A38" s="3">
        <v>45352</v>
      </c>
      <c r="B38" s="2">
        <v>51996.2</v>
      </c>
      <c r="C38">
        <v>13.01</v>
      </c>
      <c r="D38" s="1">
        <v>1.5699999999999999E-2</v>
      </c>
    </row>
    <row r="39" spans="1:4" x14ac:dyDescent="0.2">
      <c r="A39" s="3">
        <v>45383</v>
      </c>
      <c r="B39" s="2">
        <v>-16260.02</v>
      </c>
      <c r="C39">
        <v>15.65</v>
      </c>
      <c r="D39" s="1">
        <v>1.24E-2</v>
      </c>
    </row>
    <row r="40" spans="1:4" x14ac:dyDescent="0.2">
      <c r="A40" s="3">
        <v>45413</v>
      </c>
      <c r="B40" s="2">
        <v>-12910.86</v>
      </c>
      <c r="C40">
        <v>12.92</v>
      </c>
      <c r="D40" s="1">
        <v>-3.3E-3</v>
      </c>
    </row>
    <row r="41" spans="1:4" x14ac:dyDescent="0.2">
      <c r="A41" s="3">
        <v>45444</v>
      </c>
      <c r="B41" s="2">
        <v>41757.440000000002</v>
      </c>
      <c r="C41">
        <v>12.44</v>
      </c>
      <c r="D41" s="1">
        <v>6.5699999999999995E-2</v>
      </c>
    </row>
    <row r="42" spans="1:4" x14ac:dyDescent="0.2">
      <c r="A42" s="3">
        <v>45474</v>
      </c>
      <c r="B42" s="2">
        <v>48796.04</v>
      </c>
      <c r="C42">
        <v>16.36</v>
      </c>
      <c r="D42" s="1">
        <v>3.9199999999999999E-2</v>
      </c>
    </row>
    <row r="43" spans="1:4" x14ac:dyDescent="0.2">
      <c r="A43" s="3">
        <v>45505</v>
      </c>
      <c r="B43" s="2">
        <v>25493.29</v>
      </c>
      <c r="C43">
        <v>15</v>
      </c>
      <c r="D43" s="1">
        <v>1.14E-2</v>
      </c>
    </row>
    <row r="44" spans="1:4" x14ac:dyDescent="0.2">
      <c r="A44" s="3">
        <v>45536</v>
      </c>
      <c r="B44" s="2">
        <v>93537.63</v>
      </c>
      <c r="C44">
        <v>17.22</v>
      </c>
      <c r="D44" s="1">
        <v>2.2800000000000001E-2</v>
      </c>
    </row>
    <row r="45" spans="1:4" x14ac:dyDescent="0.2">
      <c r="A45" s="3">
        <v>45566</v>
      </c>
      <c r="B45" s="2">
        <v>-96357.63</v>
      </c>
      <c r="C45">
        <v>18.14</v>
      </c>
      <c r="D45" s="1">
        <v>-6.2199999999999998E-2</v>
      </c>
    </row>
    <row r="46" spans="1:4" x14ac:dyDescent="0.2">
      <c r="A46" s="3">
        <v>45597</v>
      </c>
      <c r="B46" s="2">
        <v>-21444</v>
      </c>
      <c r="C46">
        <v>13.04</v>
      </c>
      <c r="D46" s="1">
        <v>-3.0999999999999999E-3</v>
      </c>
    </row>
    <row r="47" spans="1:4" x14ac:dyDescent="0.2">
      <c r="A47" s="3">
        <v>45627</v>
      </c>
      <c r="B47" s="2">
        <v>25938.34</v>
      </c>
      <c r="C47">
        <v>12.45</v>
      </c>
      <c r="D47" s="1">
        <v>-2.0199999999999999E-2</v>
      </c>
    </row>
    <row r="48" spans="1:4" x14ac:dyDescent="0.2">
      <c r="A48" s="3">
        <v>45658</v>
      </c>
      <c r="B48" s="2">
        <v>-77211.03</v>
      </c>
      <c r="C48">
        <v>14.62</v>
      </c>
      <c r="D48" s="1">
        <v>-5.7999999999999996E-3</v>
      </c>
    </row>
    <row r="49" spans="1:4" x14ac:dyDescent="0.2">
      <c r="A49" s="3">
        <v>45689</v>
      </c>
      <c r="B49" s="2">
        <v>-24300.63</v>
      </c>
      <c r="C49">
        <v>13.4</v>
      </c>
      <c r="D49" s="1">
        <v>-5.8900000000000001E-2</v>
      </c>
    </row>
    <row r="50" spans="1:4" x14ac:dyDescent="0.2">
      <c r="A50" s="3">
        <v>45717</v>
      </c>
      <c r="B50" s="2">
        <v>32981.360000000001</v>
      </c>
      <c r="C50">
        <v>15.05</v>
      </c>
      <c r="D50" s="1">
        <v>5.8299999999999998E-2</v>
      </c>
    </row>
    <row r="51" spans="1:4" x14ac:dyDescent="0.2">
      <c r="A51" s="3">
        <v>45748</v>
      </c>
      <c r="B51" s="2">
        <v>-20189.93</v>
      </c>
      <c r="C51">
        <v>19.23</v>
      </c>
      <c r="D51" s="1">
        <v>3.9300000000000002E-2</v>
      </c>
    </row>
    <row r="52" spans="1:4" x14ac:dyDescent="0.2">
      <c r="A52" s="3">
        <v>45778</v>
      </c>
      <c r="B52" s="2">
        <v>30949.71</v>
      </c>
      <c r="C52">
        <v>16.98</v>
      </c>
      <c r="D52" s="1">
        <v>1.7100000000000001E-2</v>
      </c>
    </row>
    <row r="53" spans="1:4" x14ac:dyDescent="0.2">
      <c r="A53" s="3">
        <v>45809</v>
      </c>
      <c r="B53" s="2">
        <v>-7563.08</v>
      </c>
      <c r="C53">
        <v>15.23</v>
      </c>
      <c r="D53" s="1">
        <v>3.1E-2</v>
      </c>
    </row>
    <row r="54" spans="1:4" x14ac:dyDescent="0.2">
      <c r="A54" s="3">
        <v>45839</v>
      </c>
      <c r="B54" s="2">
        <v>-5537.69</v>
      </c>
      <c r="C54">
        <v>14.12</v>
      </c>
      <c r="D54" s="1">
        <v>-2.93E-2</v>
      </c>
    </row>
    <row r="55" spans="1:4" x14ac:dyDescent="0.2">
      <c r="A55" s="3">
        <v>45870</v>
      </c>
      <c r="B55" s="2">
        <v>-20505</v>
      </c>
      <c r="C55">
        <v>15.87</v>
      </c>
      <c r="D55" s="1">
        <v>-1.38E-2</v>
      </c>
    </row>
    <row r="56" spans="1:4" x14ac:dyDescent="0.2">
      <c r="A56" s="3">
        <v>45901</v>
      </c>
      <c r="B56" s="2">
        <v>-12538.73</v>
      </c>
      <c r="C56">
        <v>17.91</v>
      </c>
      <c r="D56" s="1">
        <v>7.4999999999999997E-3</v>
      </c>
    </row>
    <row r="57" spans="1:4" x14ac:dyDescent="0.2">
      <c r="A57" s="3">
        <v>45931</v>
      </c>
      <c r="B57" s="2">
        <v>35597.89</v>
      </c>
      <c r="C57">
        <v>18.75</v>
      </c>
      <c r="D57" s="1">
        <v>4.5100000000000001E-2</v>
      </c>
    </row>
    <row r="58" spans="1:4" x14ac:dyDescent="0.2">
      <c r="A58" s="3">
        <v>45962</v>
      </c>
      <c r="B58" s="2">
        <v>2836.47</v>
      </c>
      <c r="C58">
        <v>15.23</v>
      </c>
      <c r="D58" s="1">
        <v>1.8700000000000001E-2</v>
      </c>
    </row>
    <row r="59" spans="1:4" x14ac:dyDescent="0.2">
      <c r="A59" s="3">
        <v>45992</v>
      </c>
      <c r="B59" s="2">
        <v>-38568.47</v>
      </c>
      <c r="C59">
        <v>14.95</v>
      </c>
      <c r="D59" s="1">
        <v>-1.6000000000000001E-3</v>
      </c>
    </row>
    <row r="60" spans="1:4" x14ac:dyDescent="0.2">
      <c r="A60" s="3">
        <v>46023</v>
      </c>
      <c r="B60" s="2">
        <v>-29240.26</v>
      </c>
      <c r="C60">
        <v>18.420000000000002</v>
      </c>
      <c r="D60" s="1">
        <v>-3.1600000000000003E-2</v>
      </c>
    </row>
    <row r="61" spans="1:4" x14ac:dyDescent="0.2">
      <c r="A61" s="3">
        <v>46054</v>
      </c>
      <c r="B61" s="2">
        <v>37804.46</v>
      </c>
      <c r="C61">
        <v>18.63</v>
      </c>
      <c r="D61" s="1">
        <v>1.4E-2</v>
      </c>
    </row>
    <row r="62" spans="1:4" x14ac:dyDescent="0.2">
      <c r="A62" s="3">
        <v>46082</v>
      </c>
      <c r="B62" s="2">
        <v>-72732.05</v>
      </c>
      <c r="C62">
        <v>23.57</v>
      </c>
      <c r="D62" s="1">
        <v>-5.16E-2</v>
      </c>
    </row>
    <row r="63" spans="1:4" x14ac:dyDescent="0.2">
      <c r="D63" s="1"/>
    </row>
  </sheetData>
  <phoneticPr fontId="4" type="noConversion"/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03613-F5F5-FF4C-AD1F-C92F823A2576}">
  <dimension ref="A1:I63"/>
  <sheetViews>
    <sheetView zoomScale="70" zoomScaleNormal="70" workbookViewId="0">
      <selection activeCell="D18" sqref="D18"/>
    </sheetView>
  </sheetViews>
  <sheetFormatPr baseColWidth="10" defaultRowHeight="16" x14ac:dyDescent="0.2"/>
  <cols>
    <col min="1" max="1" width="11.33203125" style="7" customWidth="1"/>
    <col min="2" max="2" width="28.1640625" style="7" bestFit="1" customWidth="1"/>
    <col min="3" max="3" width="22.5" style="7" bestFit="1" customWidth="1"/>
    <col min="4" max="4" width="15.6640625" style="7" bestFit="1" customWidth="1"/>
    <col min="5" max="16384" width="10.83203125" style="7"/>
  </cols>
  <sheetData>
    <row r="1" spans="1:9" x14ac:dyDescent="0.2">
      <c r="A1" s="7" t="s">
        <v>0</v>
      </c>
      <c r="B1" s="6" t="s">
        <v>1</v>
      </c>
      <c r="C1" s="6" t="s">
        <v>2</v>
      </c>
      <c r="D1" s="7" t="s">
        <v>28</v>
      </c>
    </row>
    <row r="2" spans="1:9" x14ac:dyDescent="0.2">
      <c r="A2" s="10">
        <v>44256</v>
      </c>
      <c r="B2" s="11">
        <v>17022.64</v>
      </c>
      <c r="C2" s="12">
        <v>1.11E-2</v>
      </c>
      <c r="D2" s="13" t="s">
        <v>29</v>
      </c>
    </row>
    <row r="3" spans="1:9" x14ac:dyDescent="0.2">
      <c r="A3" s="10">
        <v>44287</v>
      </c>
      <c r="B3" s="11">
        <v>-8835.9</v>
      </c>
      <c r="C3" s="12">
        <v>-4.1000000000000003E-3</v>
      </c>
      <c r="D3" s="13">
        <f>B2</f>
        <v>17022.64</v>
      </c>
      <c r="E3" s="12"/>
      <c r="F3" s="12"/>
      <c r="G3" s="12"/>
      <c r="H3" s="12"/>
      <c r="I3" s="12"/>
    </row>
    <row r="4" spans="1:9" x14ac:dyDescent="0.2">
      <c r="A4" s="10">
        <v>44317</v>
      </c>
      <c r="B4" s="11">
        <v>-1957.8</v>
      </c>
      <c r="C4" s="12">
        <v>6.5000000000000002E-2</v>
      </c>
      <c r="D4" s="13">
        <f t="shared" ref="D4:D62" si="0">B3</f>
        <v>-8835.9</v>
      </c>
      <c r="E4" s="12"/>
      <c r="F4" s="12"/>
      <c r="G4" s="12"/>
      <c r="H4" s="12"/>
      <c r="I4" s="12"/>
    </row>
    <row r="5" spans="1:9" x14ac:dyDescent="0.2">
      <c r="A5" s="10">
        <v>44348</v>
      </c>
      <c r="B5" s="11">
        <v>12973.97</v>
      </c>
      <c r="C5" s="12">
        <v>8.8999999999999999E-3</v>
      </c>
      <c r="D5" s="13">
        <f t="shared" si="0"/>
        <v>-1957.8</v>
      </c>
      <c r="E5" s="12"/>
      <c r="F5" s="12"/>
      <c r="G5" s="12"/>
      <c r="H5" s="12"/>
      <c r="I5" s="12"/>
    </row>
    <row r="6" spans="1:9" x14ac:dyDescent="0.2">
      <c r="A6" s="10">
        <v>44378</v>
      </c>
      <c r="B6" s="11">
        <v>-7409.99</v>
      </c>
      <c r="C6" s="12">
        <v>2.5999999999999999E-3</v>
      </c>
      <c r="D6" s="13">
        <f t="shared" si="0"/>
        <v>12973.97</v>
      </c>
      <c r="E6" s="12"/>
      <c r="F6" s="12"/>
      <c r="G6" s="12"/>
      <c r="H6" s="12"/>
      <c r="I6" s="12"/>
    </row>
    <row r="7" spans="1:9" x14ac:dyDescent="0.2">
      <c r="A7" s="10">
        <v>44409</v>
      </c>
      <c r="B7" s="11">
        <v>16555.95</v>
      </c>
      <c r="C7" s="12">
        <v>8.6900000000000005E-2</v>
      </c>
      <c r="D7" s="13">
        <f t="shared" si="0"/>
        <v>-7409.99</v>
      </c>
      <c r="E7" s="12"/>
      <c r="F7" s="12"/>
      <c r="G7" s="12"/>
      <c r="H7" s="12"/>
      <c r="I7" s="12"/>
    </row>
    <row r="8" spans="1:9" x14ac:dyDescent="0.2">
      <c r="A8" s="10">
        <v>44440</v>
      </c>
      <c r="B8" s="11">
        <v>27755.71</v>
      </c>
      <c r="C8" s="12">
        <v>2.8400000000000002E-2</v>
      </c>
      <c r="D8" s="13">
        <f t="shared" si="0"/>
        <v>16555.95</v>
      </c>
      <c r="E8" s="12"/>
      <c r="F8" s="12"/>
      <c r="G8" s="12"/>
      <c r="H8" s="12"/>
      <c r="I8" s="12"/>
    </row>
    <row r="9" spans="1:9" x14ac:dyDescent="0.2">
      <c r="A9" s="10">
        <v>44470</v>
      </c>
      <c r="B9" s="11">
        <v>-12436.92</v>
      </c>
      <c r="C9" s="12">
        <v>3.0000000000000001E-3</v>
      </c>
      <c r="D9" s="13">
        <f t="shared" si="0"/>
        <v>27755.71</v>
      </c>
      <c r="E9" s="12"/>
      <c r="F9" s="12"/>
      <c r="G9" s="12"/>
      <c r="H9" s="12"/>
      <c r="I9" s="12"/>
    </row>
    <row r="10" spans="1:9" x14ac:dyDescent="0.2">
      <c r="A10" s="10">
        <v>44501</v>
      </c>
      <c r="B10" s="11">
        <v>-2520.7600000000002</v>
      </c>
      <c r="C10" s="12">
        <v>-3.9E-2</v>
      </c>
      <c r="D10" s="13">
        <f t="shared" si="0"/>
        <v>-12436.92</v>
      </c>
      <c r="E10" s="12"/>
      <c r="F10" s="12"/>
      <c r="G10" s="12"/>
      <c r="H10" s="12"/>
      <c r="I10" s="12"/>
    </row>
    <row r="11" spans="1:9" x14ac:dyDescent="0.2">
      <c r="A11" s="10">
        <v>44531</v>
      </c>
      <c r="B11" s="11">
        <v>-29702.19</v>
      </c>
      <c r="C11" s="12">
        <v>2.18E-2</v>
      </c>
      <c r="D11" s="13">
        <f t="shared" si="0"/>
        <v>-2520.7600000000002</v>
      </c>
      <c r="E11" s="12"/>
      <c r="F11" s="12"/>
      <c r="G11" s="12"/>
      <c r="H11" s="12"/>
      <c r="I11" s="12"/>
    </row>
    <row r="12" spans="1:9" x14ac:dyDescent="0.2">
      <c r="A12" s="10">
        <v>44562</v>
      </c>
      <c r="B12" s="11">
        <v>-28526.3</v>
      </c>
      <c r="C12" s="12">
        <v>-8.0000000000000004E-4</v>
      </c>
      <c r="D12" s="13">
        <f t="shared" si="0"/>
        <v>-29702.19</v>
      </c>
      <c r="E12" s="12"/>
      <c r="F12" s="12"/>
      <c r="G12" s="12"/>
      <c r="H12" s="12"/>
      <c r="I12" s="12"/>
    </row>
    <row r="13" spans="1:9" x14ac:dyDescent="0.2">
      <c r="A13" s="10">
        <v>44593</v>
      </c>
      <c r="B13" s="11">
        <v>-38068.019999999997</v>
      </c>
      <c r="C13" s="12">
        <v>-3.15E-2</v>
      </c>
      <c r="D13" s="13">
        <f t="shared" si="0"/>
        <v>-28526.3</v>
      </c>
    </row>
    <row r="14" spans="1:9" x14ac:dyDescent="0.2">
      <c r="A14" s="10">
        <v>44621</v>
      </c>
      <c r="B14" s="11">
        <v>-50067.58</v>
      </c>
      <c r="C14" s="12">
        <v>3.9899999999999998E-2</v>
      </c>
      <c r="D14" s="13">
        <f t="shared" si="0"/>
        <v>-38068.019999999997</v>
      </c>
    </row>
    <row r="15" spans="1:9" x14ac:dyDescent="0.2">
      <c r="A15" s="10">
        <v>44652</v>
      </c>
      <c r="B15" s="11">
        <v>-22688.37</v>
      </c>
      <c r="C15" s="12">
        <v>-2.07E-2</v>
      </c>
      <c r="D15" s="13">
        <f t="shared" si="0"/>
        <v>-50067.58</v>
      </c>
      <c r="E15" s="12"/>
      <c r="F15" s="12"/>
      <c r="G15" s="12"/>
      <c r="H15" s="12"/>
      <c r="I15" s="12"/>
    </row>
    <row r="16" spans="1:9" x14ac:dyDescent="0.2">
      <c r="A16" s="10">
        <v>44682</v>
      </c>
      <c r="B16" s="11">
        <v>-36517.86</v>
      </c>
      <c r="C16" s="12">
        <v>-3.0300000000000001E-2</v>
      </c>
      <c r="D16" s="13">
        <f t="shared" si="0"/>
        <v>-22688.37</v>
      </c>
      <c r="E16" s="12"/>
      <c r="F16" s="12"/>
      <c r="G16" s="12"/>
      <c r="H16" s="12"/>
      <c r="I16" s="12"/>
    </row>
    <row r="17" spans="1:9" x14ac:dyDescent="0.2">
      <c r="A17" s="10">
        <v>44713</v>
      </c>
      <c r="B17" s="11">
        <v>-51422.03</v>
      </c>
      <c r="C17" s="12">
        <v>-4.8500000000000001E-2</v>
      </c>
      <c r="D17" s="13">
        <f t="shared" si="0"/>
        <v>-36517.86</v>
      </c>
      <c r="E17" s="12"/>
      <c r="F17" s="12"/>
      <c r="G17" s="12"/>
      <c r="H17" s="12"/>
      <c r="I17" s="12"/>
    </row>
    <row r="18" spans="1:9" x14ac:dyDescent="0.2">
      <c r="A18" s="10">
        <v>44743</v>
      </c>
      <c r="B18" s="11">
        <v>1971.33</v>
      </c>
      <c r="C18" s="12">
        <v>8.7300000000000003E-2</v>
      </c>
      <c r="D18" s="13">
        <f t="shared" si="0"/>
        <v>-51422.03</v>
      </c>
      <c r="E18" s="12"/>
      <c r="F18" s="12"/>
      <c r="G18" s="12"/>
      <c r="H18" s="12"/>
      <c r="I18" s="12"/>
    </row>
    <row r="19" spans="1:9" x14ac:dyDescent="0.2">
      <c r="A19" s="10">
        <v>44774</v>
      </c>
      <c r="B19" s="11">
        <v>56521.1</v>
      </c>
      <c r="C19" s="12">
        <v>3.5000000000000003E-2</v>
      </c>
      <c r="D19" s="13">
        <f t="shared" si="0"/>
        <v>1971.33</v>
      </c>
      <c r="E19" s="12"/>
      <c r="F19" s="12"/>
      <c r="G19" s="12"/>
      <c r="H19" s="12"/>
      <c r="I19" s="12"/>
    </row>
    <row r="20" spans="1:9" x14ac:dyDescent="0.2">
      <c r="A20" s="10">
        <v>44805</v>
      </c>
      <c r="B20" s="11">
        <v>-3955.31</v>
      </c>
      <c r="C20" s="12">
        <v>-3.7400000000000003E-2</v>
      </c>
      <c r="D20" s="13">
        <f t="shared" si="0"/>
        <v>56521.1</v>
      </c>
      <c r="E20" s="12"/>
      <c r="F20" s="12"/>
      <c r="G20" s="12"/>
      <c r="H20" s="12"/>
      <c r="I20" s="12"/>
    </row>
    <row r="21" spans="1:9" x14ac:dyDescent="0.2">
      <c r="A21" s="10">
        <v>44835</v>
      </c>
      <c r="B21" s="11">
        <v>-3080.12</v>
      </c>
      <c r="C21" s="12">
        <v>5.3699999999999998E-2</v>
      </c>
      <c r="D21" s="13">
        <f t="shared" si="0"/>
        <v>-3955.31</v>
      </c>
      <c r="E21" s="12"/>
      <c r="F21" s="12"/>
      <c r="G21" s="12"/>
      <c r="H21" s="12"/>
      <c r="I21" s="12"/>
    </row>
    <row r="22" spans="1:9" x14ac:dyDescent="0.2">
      <c r="A22" s="10">
        <v>44866</v>
      </c>
      <c r="B22" s="11">
        <v>33847.26</v>
      </c>
      <c r="C22" s="12">
        <v>4.1399999999999999E-2</v>
      </c>
      <c r="D22" s="13">
        <f t="shared" si="0"/>
        <v>-3080.12</v>
      </c>
      <c r="E22" s="12"/>
      <c r="F22" s="12"/>
      <c r="G22" s="12"/>
      <c r="H22" s="12"/>
      <c r="I22" s="12"/>
    </row>
    <row r="23" spans="1:9" x14ac:dyDescent="0.2">
      <c r="A23" s="10">
        <v>44896</v>
      </c>
      <c r="B23" s="11">
        <v>9170.68</v>
      </c>
      <c r="C23" s="12">
        <v>-3.4799999999999998E-2</v>
      </c>
      <c r="D23" s="13">
        <f t="shared" si="0"/>
        <v>33847.26</v>
      </c>
      <c r="E23" s="12"/>
      <c r="F23" s="12"/>
      <c r="G23" s="12"/>
      <c r="H23" s="12"/>
      <c r="I23" s="12"/>
    </row>
    <row r="24" spans="1:9" x14ac:dyDescent="0.2">
      <c r="A24" s="10">
        <v>44927</v>
      </c>
      <c r="B24" s="11">
        <v>-26543.75</v>
      </c>
      <c r="C24" s="12">
        <v>-2.4500000000000001E-2</v>
      </c>
      <c r="D24" s="13">
        <f t="shared" si="0"/>
        <v>9170.68</v>
      </c>
      <c r="E24" s="12"/>
      <c r="F24" s="12"/>
      <c r="G24" s="12"/>
      <c r="H24" s="12"/>
      <c r="I24" s="12"/>
    </row>
    <row r="25" spans="1:9" x14ac:dyDescent="0.2">
      <c r="A25" s="10">
        <v>44958</v>
      </c>
      <c r="B25" s="11">
        <v>-4139.12</v>
      </c>
      <c r="C25" s="12">
        <v>-1.43E-2</v>
      </c>
      <c r="D25" s="13">
        <f t="shared" si="0"/>
        <v>-26543.75</v>
      </c>
    </row>
    <row r="26" spans="1:9" x14ac:dyDescent="0.2">
      <c r="A26" s="10">
        <v>44986</v>
      </c>
      <c r="B26" s="11">
        <v>5899.21</v>
      </c>
      <c r="C26" s="12">
        <v>-2.8999999999999998E-3</v>
      </c>
      <c r="D26" s="13">
        <f t="shared" si="0"/>
        <v>-4139.12</v>
      </c>
    </row>
    <row r="27" spans="1:9" x14ac:dyDescent="0.2">
      <c r="A27" s="10">
        <v>45017</v>
      </c>
      <c r="B27" s="11">
        <v>13544.79</v>
      </c>
      <c r="C27" s="12">
        <v>4.0599999999999997E-2</v>
      </c>
      <c r="D27" s="13">
        <f t="shared" si="0"/>
        <v>5899.21</v>
      </c>
    </row>
    <row r="28" spans="1:9" x14ac:dyDescent="0.2">
      <c r="A28" s="10">
        <v>45047</v>
      </c>
      <c r="B28" s="11">
        <v>48329.55</v>
      </c>
      <c r="C28" s="12">
        <v>2.5999999999999999E-2</v>
      </c>
      <c r="D28" s="13">
        <f t="shared" si="0"/>
        <v>13544.79</v>
      </c>
    </row>
    <row r="29" spans="1:9" x14ac:dyDescent="0.2">
      <c r="A29" s="10">
        <v>45078</v>
      </c>
      <c r="B29" s="11">
        <v>56257.7</v>
      </c>
      <c r="C29" s="12">
        <v>3.5299999999999998E-2</v>
      </c>
      <c r="D29" s="13">
        <f t="shared" si="0"/>
        <v>48329.55</v>
      </c>
    </row>
    <row r="30" spans="1:9" x14ac:dyDescent="0.2">
      <c r="A30" s="10">
        <v>45108</v>
      </c>
      <c r="B30" s="11">
        <v>47977.08</v>
      </c>
      <c r="C30" s="12">
        <v>2.9399999999999999E-2</v>
      </c>
      <c r="D30" s="13">
        <f t="shared" si="0"/>
        <v>56257.7</v>
      </c>
    </row>
    <row r="31" spans="1:9" x14ac:dyDescent="0.2">
      <c r="A31" s="10">
        <v>45139</v>
      </c>
      <c r="B31" s="11">
        <v>18337.82</v>
      </c>
      <c r="C31" s="12">
        <v>-2.53E-2</v>
      </c>
      <c r="D31" s="13">
        <f t="shared" si="0"/>
        <v>47977.08</v>
      </c>
    </row>
    <row r="32" spans="1:9" x14ac:dyDescent="0.2">
      <c r="A32" s="10">
        <v>45170</v>
      </c>
      <c r="B32" s="11">
        <v>-13810.39</v>
      </c>
      <c r="C32" s="12">
        <v>0.02</v>
      </c>
      <c r="D32" s="13">
        <f t="shared" si="0"/>
        <v>18337.82</v>
      </c>
    </row>
    <row r="33" spans="1:4" x14ac:dyDescent="0.2">
      <c r="A33" s="10">
        <v>45200</v>
      </c>
      <c r="B33" s="11">
        <v>-17875.46</v>
      </c>
      <c r="C33" s="12">
        <v>-2.8400000000000002E-2</v>
      </c>
      <c r="D33" s="13">
        <f t="shared" si="0"/>
        <v>-13810.39</v>
      </c>
    </row>
    <row r="34" spans="1:4" x14ac:dyDescent="0.2">
      <c r="A34" s="10">
        <v>45231</v>
      </c>
      <c r="B34" s="11">
        <v>24546.41</v>
      </c>
      <c r="C34" s="12">
        <v>5.5199999999999999E-2</v>
      </c>
      <c r="D34" s="13">
        <f t="shared" si="0"/>
        <v>-17875.46</v>
      </c>
    </row>
    <row r="35" spans="1:4" x14ac:dyDescent="0.2">
      <c r="A35" s="10">
        <v>45261</v>
      </c>
      <c r="B35" s="11">
        <v>84537.43</v>
      </c>
      <c r="C35" s="12">
        <v>7.9399999999999998E-2</v>
      </c>
      <c r="D35" s="13">
        <f t="shared" si="0"/>
        <v>24546.41</v>
      </c>
    </row>
    <row r="36" spans="1:4" x14ac:dyDescent="0.2">
      <c r="A36" s="10">
        <v>45292</v>
      </c>
      <c r="B36" s="11">
        <v>-6593.34</v>
      </c>
      <c r="C36" s="12">
        <v>-2.9999999999999997E-4</v>
      </c>
      <c r="D36" s="13">
        <f t="shared" si="0"/>
        <v>84537.43</v>
      </c>
    </row>
    <row r="37" spans="1:4" x14ac:dyDescent="0.2">
      <c r="A37" s="10">
        <v>45323</v>
      </c>
      <c r="B37" s="11">
        <v>31816.83</v>
      </c>
      <c r="C37" s="12">
        <v>1.18E-2</v>
      </c>
      <c r="D37" s="13">
        <f t="shared" si="0"/>
        <v>-6593.34</v>
      </c>
    </row>
    <row r="38" spans="1:4" x14ac:dyDescent="0.2">
      <c r="A38" s="10">
        <v>45352</v>
      </c>
      <c r="B38" s="11">
        <v>51996.2</v>
      </c>
      <c r="C38" s="12">
        <v>1.5699999999999999E-2</v>
      </c>
      <c r="D38" s="13">
        <f t="shared" si="0"/>
        <v>31816.83</v>
      </c>
    </row>
    <row r="39" spans="1:4" x14ac:dyDescent="0.2">
      <c r="A39" s="10">
        <v>45383</v>
      </c>
      <c r="B39" s="11">
        <v>-16260.02</v>
      </c>
      <c r="C39" s="12">
        <v>1.24E-2</v>
      </c>
      <c r="D39" s="13">
        <f t="shared" si="0"/>
        <v>51996.2</v>
      </c>
    </row>
    <row r="40" spans="1:4" x14ac:dyDescent="0.2">
      <c r="A40" s="10">
        <v>45413</v>
      </c>
      <c r="B40" s="11">
        <v>-12910.86</v>
      </c>
      <c r="C40" s="12">
        <v>-3.3E-3</v>
      </c>
      <c r="D40" s="13">
        <f t="shared" si="0"/>
        <v>-16260.02</v>
      </c>
    </row>
    <row r="41" spans="1:4" x14ac:dyDescent="0.2">
      <c r="A41" s="10">
        <v>45444</v>
      </c>
      <c r="B41" s="11">
        <v>41757.440000000002</v>
      </c>
      <c r="C41" s="12">
        <v>6.5699999999999995E-2</v>
      </c>
      <c r="D41" s="13">
        <f t="shared" si="0"/>
        <v>-12910.86</v>
      </c>
    </row>
    <row r="42" spans="1:4" x14ac:dyDescent="0.2">
      <c r="A42" s="10">
        <v>45474</v>
      </c>
      <c r="B42" s="11">
        <v>48796.04</v>
      </c>
      <c r="C42" s="12">
        <v>3.9199999999999999E-2</v>
      </c>
      <c r="D42" s="13">
        <f t="shared" si="0"/>
        <v>41757.440000000002</v>
      </c>
    </row>
    <row r="43" spans="1:4" x14ac:dyDescent="0.2">
      <c r="A43" s="10">
        <v>45505</v>
      </c>
      <c r="B43" s="11">
        <v>25493.29</v>
      </c>
      <c r="C43" s="12">
        <v>1.14E-2</v>
      </c>
      <c r="D43" s="13">
        <f t="shared" si="0"/>
        <v>48796.04</v>
      </c>
    </row>
    <row r="44" spans="1:4" x14ac:dyDescent="0.2">
      <c r="A44" s="10">
        <v>45536</v>
      </c>
      <c r="B44" s="11">
        <v>93537.63</v>
      </c>
      <c r="C44" s="12">
        <v>2.2800000000000001E-2</v>
      </c>
      <c r="D44" s="13">
        <f t="shared" si="0"/>
        <v>25493.29</v>
      </c>
    </row>
    <row r="45" spans="1:4" x14ac:dyDescent="0.2">
      <c r="A45" s="10">
        <v>45566</v>
      </c>
      <c r="B45" s="11">
        <v>-96357.63</v>
      </c>
      <c r="C45" s="12">
        <v>-6.2199999999999998E-2</v>
      </c>
      <c r="D45" s="13">
        <f t="shared" si="0"/>
        <v>93537.63</v>
      </c>
    </row>
    <row r="46" spans="1:4" x14ac:dyDescent="0.2">
      <c r="A46" s="10">
        <v>45597</v>
      </c>
      <c r="B46" s="11">
        <v>-21444</v>
      </c>
      <c r="C46" s="12">
        <v>-3.0999999999999999E-3</v>
      </c>
      <c r="D46" s="13">
        <f t="shared" si="0"/>
        <v>-96357.63</v>
      </c>
    </row>
    <row r="47" spans="1:4" x14ac:dyDescent="0.2">
      <c r="A47" s="10">
        <v>45627</v>
      </c>
      <c r="B47" s="11">
        <v>25938.34</v>
      </c>
      <c r="C47" s="12">
        <v>-2.0199999999999999E-2</v>
      </c>
      <c r="D47" s="13">
        <f t="shared" si="0"/>
        <v>-21444</v>
      </c>
    </row>
    <row r="48" spans="1:4" x14ac:dyDescent="0.2">
      <c r="A48" s="10">
        <v>45658</v>
      </c>
      <c r="B48" s="11">
        <v>-77211.03</v>
      </c>
      <c r="C48" s="12">
        <v>-5.7999999999999996E-3</v>
      </c>
      <c r="D48" s="13">
        <f t="shared" si="0"/>
        <v>25938.34</v>
      </c>
    </row>
    <row r="49" spans="1:4" x14ac:dyDescent="0.2">
      <c r="A49" s="10">
        <v>45689</v>
      </c>
      <c r="B49" s="11">
        <v>-24300.63</v>
      </c>
      <c r="C49" s="12">
        <v>-5.8900000000000001E-2</v>
      </c>
      <c r="D49" s="13">
        <f t="shared" si="0"/>
        <v>-77211.03</v>
      </c>
    </row>
    <row r="50" spans="1:4" x14ac:dyDescent="0.2">
      <c r="A50" s="10">
        <v>45717</v>
      </c>
      <c r="B50" s="11">
        <v>32981.360000000001</v>
      </c>
      <c r="C50" s="12">
        <v>5.8299999999999998E-2</v>
      </c>
      <c r="D50" s="13">
        <f t="shared" si="0"/>
        <v>-24300.63</v>
      </c>
    </row>
    <row r="51" spans="1:4" x14ac:dyDescent="0.2">
      <c r="A51" s="10">
        <v>45748</v>
      </c>
      <c r="B51" s="11">
        <v>-20189.93</v>
      </c>
      <c r="C51" s="12">
        <v>3.9300000000000002E-2</v>
      </c>
      <c r="D51" s="13">
        <f t="shared" si="0"/>
        <v>32981.360000000001</v>
      </c>
    </row>
    <row r="52" spans="1:4" x14ac:dyDescent="0.2">
      <c r="A52" s="10">
        <v>45778</v>
      </c>
      <c r="B52" s="11">
        <v>30949.71</v>
      </c>
      <c r="C52" s="12">
        <v>1.7100000000000001E-2</v>
      </c>
      <c r="D52" s="13">
        <f t="shared" si="0"/>
        <v>-20189.93</v>
      </c>
    </row>
    <row r="53" spans="1:4" x14ac:dyDescent="0.2">
      <c r="A53" s="10">
        <v>45809</v>
      </c>
      <c r="B53" s="11">
        <v>-7563.08</v>
      </c>
      <c r="C53" s="12">
        <v>3.1E-2</v>
      </c>
      <c r="D53" s="13">
        <f t="shared" si="0"/>
        <v>30949.71</v>
      </c>
    </row>
    <row r="54" spans="1:4" x14ac:dyDescent="0.2">
      <c r="A54" s="10">
        <v>45839</v>
      </c>
      <c r="B54" s="11">
        <v>-5537.69</v>
      </c>
      <c r="C54" s="12">
        <v>-2.93E-2</v>
      </c>
      <c r="D54" s="13">
        <f t="shared" si="0"/>
        <v>-7563.08</v>
      </c>
    </row>
    <row r="55" spans="1:4" x14ac:dyDescent="0.2">
      <c r="A55" s="10">
        <v>45870</v>
      </c>
      <c r="B55" s="11">
        <v>-20505</v>
      </c>
      <c r="C55" s="12">
        <v>-1.38E-2</v>
      </c>
      <c r="D55" s="13">
        <f t="shared" si="0"/>
        <v>-5537.69</v>
      </c>
    </row>
    <row r="56" spans="1:4" x14ac:dyDescent="0.2">
      <c r="A56" s="10">
        <v>45901</v>
      </c>
      <c r="B56" s="11">
        <v>-12538.73</v>
      </c>
      <c r="C56" s="12">
        <v>7.4999999999999997E-3</v>
      </c>
      <c r="D56" s="13">
        <f t="shared" si="0"/>
        <v>-20505</v>
      </c>
    </row>
    <row r="57" spans="1:4" x14ac:dyDescent="0.2">
      <c r="A57" s="10">
        <v>45931</v>
      </c>
      <c r="B57" s="11">
        <v>35597.89</v>
      </c>
      <c r="C57" s="12">
        <v>4.5100000000000001E-2</v>
      </c>
      <c r="D57" s="13">
        <f t="shared" si="0"/>
        <v>-12538.73</v>
      </c>
    </row>
    <row r="58" spans="1:4" x14ac:dyDescent="0.2">
      <c r="A58" s="10">
        <v>45962</v>
      </c>
      <c r="B58" s="11">
        <v>2836.47</v>
      </c>
      <c r="C58" s="12">
        <v>1.8700000000000001E-2</v>
      </c>
      <c r="D58" s="13">
        <f t="shared" si="0"/>
        <v>35597.89</v>
      </c>
    </row>
    <row r="59" spans="1:4" x14ac:dyDescent="0.2">
      <c r="A59" s="10">
        <v>45992</v>
      </c>
      <c r="B59" s="11">
        <v>-38568.47</v>
      </c>
      <c r="C59" s="12">
        <v>-1.6000000000000001E-3</v>
      </c>
      <c r="D59" s="13">
        <f t="shared" si="0"/>
        <v>2836.47</v>
      </c>
    </row>
    <row r="60" spans="1:4" x14ac:dyDescent="0.2">
      <c r="A60" s="10">
        <v>46023</v>
      </c>
      <c r="B60" s="11">
        <v>-29240.26</v>
      </c>
      <c r="C60" s="12">
        <v>-3.1600000000000003E-2</v>
      </c>
      <c r="D60" s="13">
        <f t="shared" si="0"/>
        <v>-38568.47</v>
      </c>
    </row>
    <row r="61" spans="1:4" x14ac:dyDescent="0.2">
      <c r="A61" s="10">
        <v>46054</v>
      </c>
      <c r="B61" s="11">
        <v>37804.46</v>
      </c>
      <c r="C61" s="12">
        <v>1.4E-2</v>
      </c>
      <c r="D61" s="13">
        <f t="shared" si="0"/>
        <v>-29240.26</v>
      </c>
    </row>
    <row r="62" spans="1:4" x14ac:dyDescent="0.2">
      <c r="A62" s="10">
        <v>46082</v>
      </c>
      <c r="B62" s="11">
        <v>-72732.05</v>
      </c>
      <c r="C62" s="12">
        <v>-5.16E-2</v>
      </c>
      <c r="D62" s="13">
        <f t="shared" si="0"/>
        <v>37804.46</v>
      </c>
    </row>
    <row r="63" spans="1:4" x14ac:dyDescent="0.2">
      <c r="C63" s="12"/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69BCB-986D-A845-80F5-E0B661562A56}">
  <dimension ref="A1:J73"/>
  <sheetViews>
    <sheetView topLeftCell="A18" zoomScale="90" zoomScaleNormal="90" workbookViewId="0">
      <selection activeCell="F46" sqref="F46"/>
    </sheetView>
  </sheetViews>
  <sheetFormatPr baseColWidth="10" defaultRowHeight="16" x14ac:dyDescent="0.2"/>
  <cols>
    <col min="1" max="1" width="13.5" style="7" bestFit="1" customWidth="1"/>
    <col min="2" max="2" width="31.6640625" style="7" bestFit="1" customWidth="1"/>
    <col min="3" max="3" width="23.33203125" style="7" bestFit="1" customWidth="1"/>
    <col min="4" max="4" width="16.6640625" style="7" bestFit="1" customWidth="1"/>
    <col min="5" max="5" width="27.83203125" style="7" bestFit="1" customWidth="1"/>
    <col min="6" max="6" width="16.6640625" style="7" bestFit="1" customWidth="1"/>
    <col min="7" max="7" width="15.33203125" style="7" bestFit="1" customWidth="1"/>
    <col min="8" max="16384" width="10.83203125" style="7"/>
  </cols>
  <sheetData>
    <row r="1" spans="1:10" x14ac:dyDescent="0.2">
      <c r="A1" s="7" t="s">
        <v>0</v>
      </c>
      <c r="B1" s="6" t="s">
        <v>1</v>
      </c>
      <c r="C1" s="6" t="s">
        <v>2</v>
      </c>
      <c r="D1" s="7" t="s">
        <v>28</v>
      </c>
      <c r="E1" s="7" t="s">
        <v>36</v>
      </c>
      <c r="F1" s="7" t="s">
        <v>39</v>
      </c>
      <c r="G1" s="7" t="s">
        <v>27</v>
      </c>
    </row>
    <row r="2" spans="1:10" x14ac:dyDescent="0.2">
      <c r="A2" s="10">
        <v>44256</v>
      </c>
      <c r="B2" s="11">
        <v>17022.64</v>
      </c>
      <c r="C2" s="12">
        <v>1.11E-2</v>
      </c>
      <c r="D2" s="13" t="s">
        <v>29</v>
      </c>
      <c r="E2" s="7" t="s">
        <v>29</v>
      </c>
      <c r="F2" s="7" t="s">
        <v>29</v>
      </c>
      <c r="G2" s="8">
        <v>19.399999999999999</v>
      </c>
    </row>
    <row r="3" spans="1:10" x14ac:dyDescent="0.2">
      <c r="A3" s="10">
        <v>44287</v>
      </c>
      <c r="B3" s="11">
        <v>-8835.9</v>
      </c>
      <c r="C3" s="12">
        <v>-4.1000000000000003E-3</v>
      </c>
      <c r="D3" s="13">
        <f>B2</f>
        <v>17022.64</v>
      </c>
      <c r="E3" s="12">
        <f>C2</f>
        <v>1.11E-2</v>
      </c>
      <c r="F3" s="17">
        <f t="shared" ref="F3:F34" si="0">G2</f>
        <v>19.399999999999999</v>
      </c>
      <c r="G3" s="9">
        <v>18.61</v>
      </c>
      <c r="H3" s="12"/>
    </row>
    <row r="4" spans="1:10" x14ac:dyDescent="0.2">
      <c r="A4" s="10">
        <v>44317</v>
      </c>
      <c r="B4" s="11">
        <v>-1957.8</v>
      </c>
      <c r="C4" s="12">
        <v>6.5000000000000002E-2</v>
      </c>
      <c r="D4" s="13">
        <f t="shared" ref="D4:D62" si="1">B3</f>
        <v>-8835.9</v>
      </c>
      <c r="E4" s="12">
        <f t="shared" ref="E4:E62" si="2">C3</f>
        <v>-4.1000000000000003E-3</v>
      </c>
      <c r="F4" s="17">
        <f t="shared" si="0"/>
        <v>18.61</v>
      </c>
      <c r="G4" s="8">
        <v>16.760000000000002</v>
      </c>
      <c r="H4" s="12"/>
    </row>
    <row r="5" spans="1:10" x14ac:dyDescent="0.2">
      <c r="A5" s="10">
        <v>44348</v>
      </c>
      <c r="B5" s="11">
        <v>12973.97</v>
      </c>
      <c r="C5" s="12">
        <v>8.8999999999999999E-3</v>
      </c>
      <c r="D5" s="13">
        <f t="shared" si="1"/>
        <v>-1957.8</v>
      </c>
      <c r="E5" s="12">
        <f t="shared" si="2"/>
        <v>6.5000000000000002E-2</v>
      </c>
      <c r="F5" s="17">
        <f t="shared" si="0"/>
        <v>16.760000000000002</v>
      </c>
      <c r="G5" s="9">
        <v>15.83</v>
      </c>
      <c r="H5" s="12"/>
    </row>
    <row r="6" spans="1:10" x14ac:dyDescent="0.2">
      <c r="A6" s="10">
        <v>44378</v>
      </c>
      <c r="B6" s="11">
        <v>-7409.99</v>
      </c>
      <c r="C6" s="12">
        <v>2.5999999999999999E-3</v>
      </c>
      <c r="D6" s="13">
        <f t="shared" si="1"/>
        <v>12973.97</v>
      </c>
      <c r="E6" s="12">
        <f t="shared" si="2"/>
        <v>8.8999999999999999E-3</v>
      </c>
      <c r="F6" s="17">
        <f t="shared" si="0"/>
        <v>15.83</v>
      </c>
      <c r="G6" s="8">
        <v>18.239999999999998</v>
      </c>
      <c r="H6" s="12"/>
    </row>
    <row r="7" spans="1:10" x14ac:dyDescent="0.2">
      <c r="A7" s="10">
        <v>44409</v>
      </c>
      <c r="B7" s="11">
        <v>16555.95</v>
      </c>
      <c r="C7" s="12">
        <v>8.6900000000000005E-2</v>
      </c>
      <c r="D7" s="13">
        <f t="shared" si="1"/>
        <v>-7409.99</v>
      </c>
      <c r="E7" s="12">
        <f t="shared" si="2"/>
        <v>2.5999999999999999E-3</v>
      </c>
      <c r="F7" s="17">
        <f t="shared" si="0"/>
        <v>18.239999999999998</v>
      </c>
      <c r="G7" s="9">
        <v>16.48</v>
      </c>
      <c r="H7" s="12"/>
    </row>
    <row r="8" spans="1:10" x14ac:dyDescent="0.2">
      <c r="A8" s="10">
        <v>44440</v>
      </c>
      <c r="B8" s="11">
        <v>27755.71</v>
      </c>
      <c r="C8" s="12">
        <v>2.8400000000000002E-2</v>
      </c>
      <c r="D8" s="13">
        <f t="shared" si="1"/>
        <v>16555.95</v>
      </c>
      <c r="E8" s="12">
        <f t="shared" si="2"/>
        <v>8.6900000000000005E-2</v>
      </c>
      <c r="F8" s="17">
        <f t="shared" si="0"/>
        <v>16.48</v>
      </c>
      <c r="G8" s="8">
        <v>23.14</v>
      </c>
      <c r="H8" s="12"/>
      <c r="J8" s="7">
        <f>MAX(B3:B62)</f>
        <v>93537.63</v>
      </c>
    </row>
    <row r="9" spans="1:10" x14ac:dyDescent="0.2">
      <c r="A9" s="10">
        <v>44470</v>
      </c>
      <c r="B9" s="11">
        <v>-12436.92</v>
      </c>
      <c r="C9" s="12">
        <v>3.0000000000000001E-3</v>
      </c>
      <c r="D9" s="13">
        <f t="shared" si="1"/>
        <v>27755.71</v>
      </c>
      <c r="E9" s="12">
        <f t="shared" si="2"/>
        <v>2.8400000000000002E-2</v>
      </c>
      <c r="F9" s="17">
        <f t="shared" si="0"/>
        <v>23.14</v>
      </c>
      <c r="G9" s="9">
        <v>16.260000000000002</v>
      </c>
      <c r="H9" s="12"/>
    </row>
    <row r="10" spans="1:10" x14ac:dyDescent="0.2">
      <c r="A10" s="10">
        <v>44501</v>
      </c>
      <c r="B10" s="11">
        <v>-2520.7600000000002</v>
      </c>
      <c r="C10" s="12">
        <v>-3.9E-2</v>
      </c>
      <c r="D10" s="13">
        <f t="shared" si="1"/>
        <v>-12436.92</v>
      </c>
      <c r="E10" s="12">
        <f t="shared" si="2"/>
        <v>3.0000000000000001E-3</v>
      </c>
      <c r="F10" s="17">
        <f t="shared" si="0"/>
        <v>16.260000000000002</v>
      </c>
      <c r="G10" s="8">
        <v>27.19</v>
      </c>
      <c r="H10" s="12"/>
    </row>
    <row r="11" spans="1:10" x14ac:dyDescent="0.2">
      <c r="A11" s="10">
        <v>44531</v>
      </c>
      <c r="B11" s="11">
        <v>-29702.19</v>
      </c>
      <c r="C11" s="12">
        <v>2.18E-2</v>
      </c>
      <c r="D11" s="13">
        <f t="shared" si="1"/>
        <v>-2520.7600000000002</v>
      </c>
      <c r="E11" s="12">
        <f t="shared" si="2"/>
        <v>-3.9E-2</v>
      </c>
      <c r="F11" s="17">
        <f t="shared" si="0"/>
        <v>27.19</v>
      </c>
      <c r="G11" s="9">
        <v>17.22</v>
      </c>
      <c r="H11" s="12"/>
    </row>
    <row r="12" spans="1:10" x14ac:dyDescent="0.2">
      <c r="A12" s="10">
        <v>44562</v>
      </c>
      <c r="B12" s="11">
        <v>-28526.3</v>
      </c>
      <c r="C12" s="12">
        <v>-8.0000000000000004E-4</v>
      </c>
      <c r="D12" s="13">
        <f t="shared" si="1"/>
        <v>-29702.19</v>
      </c>
      <c r="E12" s="12">
        <f t="shared" si="2"/>
        <v>2.18E-2</v>
      </c>
      <c r="F12" s="17">
        <f t="shared" si="0"/>
        <v>17.22</v>
      </c>
      <c r="G12" s="8">
        <v>24.87</v>
      </c>
      <c r="H12" s="12"/>
    </row>
    <row r="13" spans="1:10" x14ac:dyDescent="0.2">
      <c r="A13" s="10">
        <v>44593</v>
      </c>
      <c r="B13" s="11">
        <v>-38068.019999999997</v>
      </c>
      <c r="C13" s="12">
        <v>-3.15E-2</v>
      </c>
      <c r="D13" s="13">
        <f t="shared" si="1"/>
        <v>-28526.3</v>
      </c>
      <c r="E13" s="12">
        <f t="shared" si="2"/>
        <v>-8.0000000000000004E-4</v>
      </c>
      <c r="F13" s="17">
        <f t="shared" si="0"/>
        <v>24.87</v>
      </c>
      <c r="G13" s="9">
        <v>30.15</v>
      </c>
    </row>
    <row r="14" spans="1:10" x14ac:dyDescent="0.2">
      <c r="A14" s="10">
        <v>44621</v>
      </c>
      <c r="B14" s="11">
        <v>-50067.58</v>
      </c>
      <c r="C14" s="12">
        <v>3.9899999999999998E-2</v>
      </c>
      <c r="D14" s="13">
        <f t="shared" si="1"/>
        <v>-38068.019999999997</v>
      </c>
      <c r="E14" s="12">
        <f t="shared" si="2"/>
        <v>-3.15E-2</v>
      </c>
      <c r="F14" s="17">
        <f t="shared" si="0"/>
        <v>30.15</v>
      </c>
      <c r="G14" s="8">
        <v>20.56</v>
      </c>
    </row>
    <row r="15" spans="1:10" x14ac:dyDescent="0.2">
      <c r="A15" s="10">
        <v>44652</v>
      </c>
      <c r="B15" s="11">
        <v>-22688.37</v>
      </c>
      <c r="C15" s="12">
        <v>-2.07E-2</v>
      </c>
      <c r="D15" s="13">
        <f t="shared" si="1"/>
        <v>-50067.58</v>
      </c>
      <c r="E15" s="12">
        <f t="shared" si="2"/>
        <v>3.9899999999999998E-2</v>
      </c>
      <c r="F15" s="17">
        <f t="shared" si="0"/>
        <v>20.56</v>
      </c>
      <c r="G15" s="9">
        <v>33.4</v>
      </c>
      <c r="H15" s="12"/>
    </row>
    <row r="16" spans="1:10" x14ac:dyDescent="0.2">
      <c r="A16" s="10">
        <v>44682</v>
      </c>
      <c r="B16" s="11">
        <v>-36517.86</v>
      </c>
      <c r="C16" s="12">
        <v>-3.0300000000000001E-2</v>
      </c>
      <c r="D16" s="13">
        <f t="shared" si="1"/>
        <v>-22688.37</v>
      </c>
      <c r="E16" s="12">
        <f t="shared" si="2"/>
        <v>-2.07E-2</v>
      </c>
      <c r="F16" s="17">
        <f t="shared" si="0"/>
        <v>33.4</v>
      </c>
      <c r="G16" s="8">
        <v>26.19</v>
      </c>
      <c r="H16" s="12"/>
    </row>
    <row r="17" spans="1:8" x14ac:dyDescent="0.2">
      <c r="A17" s="10">
        <v>44713</v>
      </c>
      <c r="B17" s="11">
        <v>-51422.03</v>
      </c>
      <c r="C17" s="12">
        <v>-4.8500000000000001E-2</v>
      </c>
      <c r="D17" s="13">
        <f t="shared" si="1"/>
        <v>-36517.86</v>
      </c>
      <c r="E17" s="12">
        <f t="shared" si="2"/>
        <v>-3.0300000000000001E-2</v>
      </c>
      <c r="F17" s="17">
        <f t="shared" si="0"/>
        <v>26.19</v>
      </c>
      <c r="G17" s="9">
        <v>28.71</v>
      </c>
      <c r="H17" s="12"/>
    </row>
    <row r="18" spans="1:8" x14ac:dyDescent="0.2">
      <c r="A18" s="10">
        <v>44743</v>
      </c>
      <c r="B18" s="11">
        <v>1971.33</v>
      </c>
      <c r="C18" s="12">
        <v>8.7300000000000003E-2</v>
      </c>
      <c r="D18" s="13">
        <f t="shared" si="1"/>
        <v>-51422.03</v>
      </c>
      <c r="E18" s="12">
        <f t="shared" si="2"/>
        <v>-4.8500000000000001E-2</v>
      </c>
      <c r="F18" s="17">
        <f t="shared" si="0"/>
        <v>28.71</v>
      </c>
      <c r="G18" s="8">
        <v>21.33</v>
      </c>
      <c r="H18" s="12"/>
    </row>
    <row r="19" spans="1:8" x14ac:dyDescent="0.2">
      <c r="A19" s="10">
        <v>44774</v>
      </c>
      <c r="B19" s="11">
        <v>56521.1</v>
      </c>
      <c r="C19" s="12">
        <v>3.5000000000000003E-2</v>
      </c>
      <c r="D19" s="13">
        <f t="shared" si="1"/>
        <v>1971.33</v>
      </c>
      <c r="E19" s="12">
        <f t="shared" si="2"/>
        <v>8.7300000000000003E-2</v>
      </c>
      <c r="F19" s="17">
        <f t="shared" si="0"/>
        <v>21.33</v>
      </c>
      <c r="G19" s="9">
        <v>25.87</v>
      </c>
      <c r="H19" s="12"/>
    </row>
    <row r="20" spans="1:8" x14ac:dyDescent="0.2">
      <c r="A20" s="10">
        <v>44805</v>
      </c>
      <c r="B20" s="11">
        <v>-3955.31</v>
      </c>
      <c r="C20" s="12">
        <v>-3.7400000000000003E-2</v>
      </c>
      <c r="D20" s="13">
        <f t="shared" si="1"/>
        <v>56521.1</v>
      </c>
      <c r="E20" s="12">
        <f t="shared" si="2"/>
        <v>3.5000000000000003E-2</v>
      </c>
      <c r="F20" s="17">
        <f t="shared" si="0"/>
        <v>25.87</v>
      </c>
      <c r="G20" s="8">
        <v>31.62</v>
      </c>
      <c r="H20" s="12"/>
    </row>
    <row r="21" spans="1:8" x14ac:dyDescent="0.2">
      <c r="A21" s="10">
        <v>44835</v>
      </c>
      <c r="B21" s="11">
        <v>-3080.12</v>
      </c>
      <c r="C21" s="12">
        <v>5.3699999999999998E-2</v>
      </c>
      <c r="D21" s="13">
        <f t="shared" si="1"/>
        <v>-3955.31</v>
      </c>
      <c r="E21" s="12">
        <f t="shared" si="2"/>
        <v>-3.7400000000000003E-2</v>
      </c>
      <c r="F21" s="17">
        <f t="shared" si="0"/>
        <v>31.62</v>
      </c>
      <c r="G21" s="9">
        <v>25.88</v>
      </c>
      <c r="H21" s="12"/>
    </row>
    <row r="22" spans="1:8" x14ac:dyDescent="0.2">
      <c r="A22" s="10">
        <v>44866</v>
      </c>
      <c r="B22" s="11">
        <v>33847.26</v>
      </c>
      <c r="C22" s="12">
        <v>4.1399999999999999E-2</v>
      </c>
      <c r="D22" s="13">
        <f t="shared" si="1"/>
        <v>-3080.12</v>
      </c>
      <c r="E22" s="12">
        <f t="shared" si="2"/>
        <v>5.3699999999999998E-2</v>
      </c>
      <c r="F22" s="17">
        <f t="shared" si="0"/>
        <v>25.88</v>
      </c>
      <c r="G22" s="8">
        <v>20.57</v>
      </c>
      <c r="H22" s="12"/>
    </row>
    <row r="23" spans="1:8" x14ac:dyDescent="0.2">
      <c r="A23" s="10">
        <v>44896</v>
      </c>
      <c r="B23" s="11">
        <v>9170.68</v>
      </c>
      <c r="C23" s="12">
        <v>-3.4799999999999998E-2</v>
      </c>
      <c r="D23" s="13">
        <f t="shared" si="1"/>
        <v>33847.26</v>
      </c>
      <c r="E23" s="12">
        <f t="shared" si="2"/>
        <v>4.1399999999999999E-2</v>
      </c>
      <c r="F23" s="17">
        <f t="shared" si="0"/>
        <v>20.57</v>
      </c>
      <c r="G23" s="9">
        <v>21.67</v>
      </c>
      <c r="H23" s="12"/>
    </row>
    <row r="24" spans="1:8" x14ac:dyDescent="0.2">
      <c r="A24" s="10">
        <v>44927</v>
      </c>
      <c r="B24" s="11">
        <v>-26543.75</v>
      </c>
      <c r="C24" s="12">
        <v>-2.4500000000000001E-2</v>
      </c>
      <c r="D24" s="13">
        <f t="shared" si="1"/>
        <v>9170.68</v>
      </c>
      <c r="E24" s="12">
        <f t="shared" si="2"/>
        <v>-3.4799999999999998E-2</v>
      </c>
      <c r="F24" s="17">
        <f t="shared" si="0"/>
        <v>21.67</v>
      </c>
      <c r="G24" s="8">
        <v>18.399999999999999</v>
      </c>
      <c r="H24" s="12"/>
    </row>
    <row r="25" spans="1:8" x14ac:dyDescent="0.2">
      <c r="A25" s="10">
        <v>44958</v>
      </c>
      <c r="B25" s="11">
        <v>-4139.12</v>
      </c>
      <c r="C25" s="12">
        <v>-1.43E-2</v>
      </c>
      <c r="D25" s="13">
        <f t="shared" si="1"/>
        <v>-26543.75</v>
      </c>
      <c r="E25" s="12">
        <f t="shared" si="2"/>
        <v>-2.4500000000000001E-2</v>
      </c>
      <c r="F25" s="17">
        <f t="shared" si="0"/>
        <v>18.399999999999999</v>
      </c>
      <c r="G25" s="9">
        <v>20.7</v>
      </c>
    </row>
    <row r="26" spans="1:8" x14ac:dyDescent="0.2">
      <c r="A26" s="10">
        <v>44986</v>
      </c>
      <c r="B26" s="11">
        <v>5899.21</v>
      </c>
      <c r="C26" s="12">
        <v>-2.8999999999999998E-3</v>
      </c>
      <c r="D26" s="13">
        <f t="shared" si="1"/>
        <v>-4139.12</v>
      </c>
      <c r="E26" s="12">
        <f t="shared" si="2"/>
        <v>-1.43E-2</v>
      </c>
      <c r="F26" s="17">
        <f t="shared" si="0"/>
        <v>20.7</v>
      </c>
      <c r="G26" s="8">
        <v>18.7</v>
      </c>
    </row>
    <row r="27" spans="1:8" x14ac:dyDescent="0.2">
      <c r="A27" s="10">
        <v>45017</v>
      </c>
      <c r="B27" s="11">
        <v>13544.79</v>
      </c>
      <c r="C27" s="12">
        <v>4.0599999999999997E-2</v>
      </c>
      <c r="D27" s="13">
        <f t="shared" si="1"/>
        <v>5899.21</v>
      </c>
      <c r="E27" s="12">
        <f t="shared" si="2"/>
        <v>-2.8999999999999998E-3</v>
      </c>
      <c r="F27" s="17">
        <f t="shared" si="0"/>
        <v>18.7</v>
      </c>
      <c r="G27" s="9">
        <v>15.78</v>
      </c>
    </row>
    <row r="28" spans="1:8" x14ac:dyDescent="0.2">
      <c r="A28" s="10">
        <v>45047</v>
      </c>
      <c r="B28" s="11">
        <v>48329.55</v>
      </c>
      <c r="C28" s="12">
        <v>2.5999999999999999E-2</v>
      </c>
      <c r="D28" s="13">
        <f t="shared" si="1"/>
        <v>13544.79</v>
      </c>
      <c r="E28" s="12">
        <f t="shared" si="2"/>
        <v>4.0599999999999997E-2</v>
      </c>
      <c r="F28" s="17">
        <f t="shared" si="0"/>
        <v>15.78</v>
      </c>
      <c r="G28" s="8">
        <v>17.940000000000001</v>
      </c>
    </row>
    <row r="29" spans="1:8" x14ac:dyDescent="0.2">
      <c r="A29" s="10">
        <v>45078</v>
      </c>
      <c r="B29" s="11">
        <v>56257.7</v>
      </c>
      <c r="C29" s="12">
        <v>3.5299999999999998E-2</v>
      </c>
      <c r="D29" s="13">
        <f t="shared" si="1"/>
        <v>48329.55</v>
      </c>
      <c r="E29" s="12">
        <f t="shared" si="2"/>
        <v>2.5999999999999999E-2</v>
      </c>
      <c r="F29" s="17">
        <f t="shared" si="0"/>
        <v>17.940000000000001</v>
      </c>
      <c r="G29" s="9">
        <v>13.59</v>
      </c>
    </row>
    <row r="30" spans="1:8" x14ac:dyDescent="0.2">
      <c r="A30" s="10">
        <v>45108</v>
      </c>
      <c r="B30" s="11">
        <v>47977.08</v>
      </c>
      <c r="C30" s="12">
        <v>2.9399999999999999E-2</v>
      </c>
      <c r="D30" s="13">
        <f t="shared" si="1"/>
        <v>56257.7</v>
      </c>
      <c r="E30" s="12">
        <f t="shared" si="2"/>
        <v>3.5299999999999998E-2</v>
      </c>
      <c r="F30" s="17">
        <f t="shared" si="0"/>
        <v>13.59</v>
      </c>
      <c r="G30" s="8">
        <v>13.33</v>
      </c>
    </row>
    <row r="31" spans="1:8" x14ac:dyDescent="0.2">
      <c r="A31" s="10">
        <v>45139</v>
      </c>
      <c r="B31" s="11">
        <v>18337.82</v>
      </c>
      <c r="C31" s="12">
        <v>-2.53E-2</v>
      </c>
      <c r="D31" s="13">
        <f t="shared" si="1"/>
        <v>47977.08</v>
      </c>
      <c r="E31" s="12">
        <f t="shared" si="2"/>
        <v>2.9399999999999999E-2</v>
      </c>
      <c r="F31" s="17">
        <f t="shared" si="0"/>
        <v>13.33</v>
      </c>
      <c r="G31" s="9">
        <v>13.57</v>
      </c>
    </row>
    <row r="32" spans="1:8" x14ac:dyDescent="0.2">
      <c r="A32" s="10">
        <v>45170</v>
      </c>
      <c r="B32" s="11">
        <v>-13810.39</v>
      </c>
      <c r="C32" s="12">
        <v>0.02</v>
      </c>
      <c r="D32" s="13">
        <f t="shared" si="1"/>
        <v>18337.82</v>
      </c>
      <c r="E32" s="12">
        <f t="shared" si="2"/>
        <v>-2.53E-2</v>
      </c>
      <c r="F32" s="17">
        <f t="shared" si="0"/>
        <v>13.57</v>
      </c>
      <c r="G32" s="8">
        <v>17.52</v>
      </c>
    </row>
    <row r="33" spans="1:7" x14ac:dyDescent="0.2">
      <c r="A33" s="10">
        <v>45200</v>
      </c>
      <c r="B33" s="11">
        <v>-17875.46</v>
      </c>
      <c r="C33" s="12">
        <v>-2.8400000000000002E-2</v>
      </c>
      <c r="D33" s="13">
        <f t="shared" si="1"/>
        <v>-13810.39</v>
      </c>
      <c r="E33" s="12">
        <f t="shared" si="2"/>
        <v>0.02</v>
      </c>
      <c r="F33" s="17">
        <f t="shared" si="0"/>
        <v>17.52</v>
      </c>
      <c r="G33" s="9">
        <v>18.14</v>
      </c>
    </row>
    <row r="34" spans="1:7" x14ac:dyDescent="0.2">
      <c r="A34" s="10">
        <v>45231</v>
      </c>
      <c r="B34" s="11">
        <v>24546.41</v>
      </c>
      <c r="C34" s="12">
        <v>5.5199999999999999E-2</v>
      </c>
      <c r="D34" s="13">
        <f t="shared" si="1"/>
        <v>-17875.46</v>
      </c>
      <c r="E34" s="12">
        <f t="shared" si="2"/>
        <v>-2.8400000000000002E-2</v>
      </c>
      <c r="F34" s="17">
        <f t="shared" si="0"/>
        <v>18.14</v>
      </c>
      <c r="G34" s="8">
        <v>12.92</v>
      </c>
    </row>
    <row r="35" spans="1:7" x14ac:dyDescent="0.2">
      <c r="A35" s="10">
        <v>45261</v>
      </c>
      <c r="B35" s="11">
        <v>84537.43</v>
      </c>
      <c r="C35" s="12">
        <v>7.9399999999999998E-2</v>
      </c>
      <c r="D35" s="13">
        <f t="shared" si="1"/>
        <v>24546.41</v>
      </c>
      <c r="E35" s="12">
        <f t="shared" si="2"/>
        <v>5.5199999999999999E-2</v>
      </c>
      <c r="F35" s="17">
        <f t="shared" ref="F35:F62" si="3">G34</f>
        <v>12.92</v>
      </c>
      <c r="G35" s="9">
        <v>12.45</v>
      </c>
    </row>
    <row r="36" spans="1:7" x14ac:dyDescent="0.2">
      <c r="A36" s="10">
        <v>45292</v>
      </c>
      <c r="B36" s="11">
        <v>-6593.34</v>
      </c>
      <c r="C36" s="12">
        <v>-2.9999999999999997E-4</v>
      </c>
      <c r="D36" s="13">
        <f t="shared" si="1"/>
        <v>84537.43</v>
      </c>
      <c r="E36" s="12">
        <f t="shared" si="2"/>
        <v>7.9399999999999998E-2</v>
      </c>
      <c r="F36" s="17">
        <f t="shared" si="3"/>
        <v>12.45</v>
      </c>
      <c r="G36" s="8">
        <v>14.35</v>
      </c>
    </row>
    <row r="37" spans="1:7" x14ac:dyDescent="0.2">
      <c r="A37" s="10">
        <v>45323</v>
      </c>
      <c r="B37" s="11">
        <v>31816.83</v>
      </c>
      <c r="C37" s="12">
        <v>1.18E-2</v>
      </c>
      <c r="D37" s="13">
        <f t="shared" si="1"/>
        <v>-6593.34</v>
      </c>
      <c r="E37" s="12">
        <f>C36</f>
        <v>-2.9999999999999997E-4</v>
      </c>
      <c r="F37" s="17">
        <f t="shared" si="3"/>
        <v>14.35</v>
      </c>
      <c r="G37" s="9">
        <v>13.4</v>
      </c>
    </row>
    <row r="38" spans="1:7" x14ac:dyDescent="0.2">
      <c r="A38" s="10">
        <v>45352</v>
      </c>
      <c r="B38" s="11">
        <v>51996.2</v>
      </c>
      <c r="C38" s="12">
        <v>1.5699999999999999E-2</v>
      </c>
      <c r="D38" s="13">
        <f t="shared" si="1"/>
        <v>31816.83</v>
      </c>
      <c r="E38" s="12">
        <f t="shared" si="2"/>
        <v>1.18E-2</v>
      </c>
      <c r="F38" s="17">
        <f t="shared" si="3"/>
        <v>13.4</v>
      </c>
      <c r="G38" s="8">
        <v>13.01</v>
      </c>
    </row>
    <row r="39" spans="1:7" x14ac:dyDescent="0.2">
      <c r="A39" s="10">
        <v>45383</v>
      </c>
      <c r="B39" s="11">
        <v>-16260.02</v>
      </c>
      <c r="C39" s="12">
        <v>1.24E-2</v>
      </c>
      <c r="D39" s="13">
        <f t="shared" si="1"/>
        <v>51996.2</v>
      </c>
      <c r="E39" s="12">
        <f t="shared" si="2"/>
        <v>1.5699999999999999E-2</v>
      </c>
      <c r="F39" s="17">
        <f t="shared" si="3"/>
        <v>13.01</v>
      </c>
      <c r="G39" s="9">
        <v>15.65</v>
      </c>
    </row>
    <row r="40" spans="1:7" x14ac:dyDescent="0.2">
      <c r="A40" s="10">
        <v>45413</v>
      </c>
      <c r="B40" s="11">
        <v>-12910.86</v>
      </c>
      <c r="C40" s="12">
        <v>-3.3E-3</v>
      </c>
      <c r="D40" s="13">
        <f t="shared" si="1"/>
        <v>-16260.02</v>
      </c>
      <c r="E40" s="12">
        <f t="shared" si="2"/>
        <v>1.24E-2</v>
      </c>
      <c r="F40" s="17">
        <f t="shared" si="3"/>
        <v>15.65</v>
      </c>
      <c r="G40" s="8">
        <v>12.92</v>
      </c>
    </row>
    <row r="41" spans="1:7" x14ac:dyDescent="0.2">
      <c r="A41" s="10">
        <v>45444</v>
      </c>
      <c r="B41" s="11">
        <v>41757.440000000002</v>
      </c>
      <c r="C41" s="12">
        <v>6.5699999999999995E-2</v>
      </c>
      <c r="D41" s="13">
        <f t="shared" si="1"/>
        <v>-12910.86</v>
      </c>
      <c r="E41" s="12">
        <f t="shared" si="2"/>
        <v>-3.3E-3</v>
      </c>
      <c r="F41" s="17">
        <f t="shared" si="3"/>
        <v>12.92</v>
      </c>
      <c r="G41" s="9">
        <v>12.44</v>
      </c>
    </row>
    <row r="42" spans="1:7" x14ac:dyDescent="0.2">
      <c r="A42" s="10">
        <v>45474</v>
      </c>
      <c r="B42" s="11">
        <v>48796.04</v>
      </c>
      <c r="C42" s="12">
        <v>3.9199999999999999E-2</v>
      </c>
      <c r="D42" s="13">
        <f t="shared" si="1"/>
        <v>41757.440000000002</v>
      </c>
      <c r="E42" s="12">
        <f t="shared" si="2"/>
        <v>6.5699999999999995E-2</v>
      </c>
      <c r="F42" s="17">
        <f t="shared" si="3"/>
        <v>12.44</v>
      </c>
      <c r="G42" s="8">
        <v>16.36</v>
      </c>
    </row>
    <row r="43" spans="1:7" x14ac:dyDescent="0.2">
      <c r="A43" s="10">
        <v>45505</v>
      </c>
      <c r="B43" s="11">
        <v>25493.29</v>
      </c>
      <c r="C43" s="12">
        <v>1.14E-2</v>
      </c>
      <c r="D43" s="13">
        <f t="shared" si="1"/>
        <v>48796.04</v>
      </c>
      <c r="E43" s="12">
        <f t="shared" si="2"/>
        <v>3.9199999999999999E-2</v>
      </c>
      <c r="F43" s="17">
        <f t="shared" si="3"/>
        <v>16.36</v>
      </c>
      <c r="G43" s="9">
        <v>15</v>
      </c>
    </row>
    <row r="44" spans="1:7" x14ac:dyDescent="0.2">
      <c r="A44" s="10">
        <v>45536</v>
      </c>
      <c r="B44" s="11">
        <v>93537.63</v>
      </c>
      <c r="C44" s="12">
        <v>2.2800000000000001E-2</v>
      </c>
      <c r="D44" s="13">
        <f t="shared" si="1"/>
        <v>25493.29</v>
      </c>
      <c r="E44" s="12">
        <f t="shared" si="2"/>
        <v>1.14E-2</v>
      </c>
      <c r="F44" s="17">
        <f t="shared" si="3"/>
        <v>15</v>
      </c>
      <c r="G44" s="8">
        <v>17.22</v>
      </c>
    </row>
    <row r="45" spans="1:7" x14ac:dyDescent="0.2">
      <c r="A45" s="10">
        <v>45566</v>
      </c>
      <c r="B45" s="11">
        <v>-96357.63</v>
      </c>
      <c r="C45" s="12">
        <v>-6.2199999999999998E-2</v>
      </c>
      <c r="D45" s="13">
        <f t="shared" si="1"/>
        <v>93537.63</v>
      </c>
      <c r="E45" s="12">
        <f t="shared" si="2"/>
        <v>2.2800000000000001E-2</v>
      </c>
      <c r="F45" s="17">
        <f t="shared" si="3"/>
        <v>17.22</v>
      </c>
      <c r="G45" s="9">
        <v>18.14</v>
      </c>
    </row>
    <row r="46" spans="1:7" x14ac:dyDescent="0.2">
      <c r="A46" s="10">
        <v>45597</v>
      </c>
      <c r="B46" s="11">
        <v>-21444</v>
      </c>
      <c r="C46" s="12">
        <v>-3.0999999999999999E-3</v>
      </c>
      <c r="D46" s="13">
        <f t="shared" si="1"/>
        <v>-96357.63</v>
      </c>
      <c r="E46" s="12">
        <f t="shared" si="2"/>
        <v>-6.2199999999999998E-2</v>
      </c>
      <c r="F46" s="17">
        <f t="shared" si="3"/>
        <v>18.14</v>
      </c>
      <c r="G46" s="8">
        <v>13.04</v>
      </c>
    </row>
    <row r="47" spans="1:7" x14ac:dyDescent="0.2">
      <c r="A47" s="10">
        <v>45627</v>
      </c>
      <c r="B47" s="11">
        <v>25938.34</v>
      </c>
      <c r="C47" s="12">
        <v>-2.0199999999999999E-2</v>
      </c>
      <c r="D47" s="13">
        <f t="shared" si="1"/>
        <v>-21444</v>
      </c>
      <c r="E47" s="12">
        <f t="shared" si="2"/>
        <v>-3.0999999999999999E-3</v>
      </c>
      <c r="F47" s="17">
        <f t="shared" si="3"/>
        <v>13.04</v>
      </c>
      <c r="G47" s="9">
        <v>12.45</v>
      </c>
    </row>
    <row r="48" spans="1:7" x14ac:dyDescent="0.2">
      <c r="A48" s="10">
        <v>45658</v>
      </c>
      <c r="B48" s="11">
        <v>-77211.03</v>
      </c>
      <c r="C48" s="12">
        <v>-5.7999999999999996E-3</v>
      </c>
      <c r="D48" s="13">
        <f t="shared" si="1"/>
        <v>25938.34</v>
      </c>
      <c r="E48" s="12">
        <f t="shared" si="2"/>
        <v>-2.0199999999999999E-2</v>
      </c>
      <c r="F48" s="17">
        <f t="shared" si="3"/>
        <v>12.45</v>
      </c>
      <c r="G48" s="8">
        <v>14.62</v>
      </c>
    </row>
    <row r="49" spans="1:7" x14ac:dyDescent="0.2">
      <c r="A49" s="10">
        <v>45689</v>
      </c>
      <c r="B49" s="11">
        <v>-24300.63</v>
      </c>
      <c r="C49" s="12">
        <v>-5.8900000000000001E-2</v>
      </c>
      <c r="D49" s="13">
        <f t="shared" si="1"/>
        <v>-77211.03</v>
      </c>
      <c r="E49" s="12">
        <f t="shared" si="2"/>
        <v>-5.7999999999999996E-3</v>
      </c>
      <c r="F49" s="17">
        <f t="shared" si="3"/>
        <v>14.62</v>
      </c>
      <c r="G49" s="9">
        <v>13.4</v>
      </c>
    </row>
    <row r="50" spans="1:7" x14ac:dyDescent="0.2">
      <c r="A50" s="10">
        <v>45717</v>
      </c>
      <c r="B50" s="11">
        <v>32981.360000000001</v>
      </c>
      <c r="C50" s="12">
        <v>5.8299999999999998E-2</v>
      </c>
      <c r="D50" s="13">
        <f t="shared" si="1"/>
        <v>-24300.63</v>
      </c>
      <c r="E50" s="12">
        <f t="shared" si="2"/>
        <v>-5.8900000000000001E-2</v>
      </c>
      <c r="F50" s="17">
        <f t="shared" si="3"/>
        <v>13.4</v>
      </c>
      <c r="G50" s="8">
        <v>15.05</v>
      </c>
    </row>
    <row r="51" spans="1:7" x14ac:dyDescent="0.2">
      <c r="A51" s="10">
        <v>45748</v>
      </c>
      <c r="B51" s="11">
        <v>-20189.93</v>
      </c>
      <c r="C51" s="12">
        <v>3.9300000000000002E-2</v>
      </c>
      <c r="D51" s="13">
        <f t="shared" si="1"/>
        <v>32981.360000000001</v>
      </c>
      <c r="E51" s="12">
        <f t="shared" si="2"/>
        <v>5.8299999999999998E-2</v>
      </c>
      <c r="F51" s="17">
        <f t="shared" si="3"/>
        <v>15.05</v>
      </c>
      <c r="G51" s="9">
        <v>19.23</v>
      </c>
    </row>
    <row r="52" spans="1:7" x14ac:dyDescent="0.2">
      <c r="A52" s="10">
        <v>45778</v>
      </c>
      <c r="B52" s="11">
        <v>30949.71</v>
      </c>
      <c r="C52" s="12">
        <v>1.7100000000000001E-2</v>
      </c>
      <c r="D52" s="13">
        <f t="shared" si="1"/>
        <v>-20189.93</v>
      </c>
      <c r="E52" s="12">
        <f t="shared" si="2"/>
        <v>3.9300000000000002E-2</v>
      </c>
      <c r="F52" s="17">
        <f t="shared" si="3"/>
        <v>19.23</v>
      </c>
      <c r="G52" s="8">
        <v>16.98</v>
      </c>
    </row>
    <row r="53" spans="1:7" x14ac:dyDescent="0.2">
      <c r="A53" s="10">
        <v>45809</v>
      </c>
      <c r="B53" s="11">
        <v>-7563.08</v>
      </c>
      <c r="C53" s="12">
        <v>3.1E-2</v>
      </c>
      <c r="D53" s="13">
        <f t="shared" si="1"/>
        <v>30949.71</v>
      </c>
      <c r="E53" s="12">
        <f t="shared" si="2"/>
        <v>1.7100000000000001E-2</v>
      </c>
      <c r="F53" s="17">
        <f t="shared" si="3"/>
        <v>16.98</v>
      </c>
      <c r="G53" s="9">
        <v>15.23</v>
      </c>
    </row>
    <row r="54" spans="1:7" x14ac:dyDescent="0.2">
      <c r="A54" s="10">
        <v>45839</v>
      </c>
      <c r="B54" s="11">
        <v>-5537.69</v>
      </c>
      <c r="C54" s="12">
        <v>-2.93E-2</v>
      </c>
      <c r="D54" s="13">
        <f t="shared" si="1"/>
        <v>-7563.08</v>
      </c>
      <c r="E54" s="12">
        <f t="shared" si="2"/>
        <v>3.1E-2</v>
      </c>
      <c r="F54" s="17">
        <f t="shared" si="3"/>
        <v>15.23</v>
      </c>
      <c r="G54" s="8">
        <v>14.12</v>
      </c>
    </row>
    <row r="55" spans="1:7" x14ac:dyDescent="0.2">
      <c r="A55" s="10">
        <v>45870</v>
      </c>
      <c r="B55" s="11">
        <v>-20505</v>
      </c>
      <c r="C55" s="12">
        <v>-1.38E-2</v>
      </c>
      <c r="D55" s="13">
        <f t="shared" si="1"/>
        <v>-5537.69</v>
      </c>
      <c r="E55" s="12">
        <f t="shared" si="2"/>
        <v>-2.93E-2</v>
      </c>
      <c r="F55" s="17">
        <f t="shared" si="3"/>
        <v>14.12</v>
      </c>
      <c r="G55" s="9">
        <v>15.87</v>
      </c>
    </row>
    <row r="56" spans="1:7" x14ac:dyDescent="0.2">
      <c r="A56" s="10">
        <v>45901</v>
      </c>
      <c r="B56" s="11">
        <v>-12538.73</v>
      </c>
      <c r="C56" s="12">
        <v>7.4999999999999997E-3</v>
      </c>
      <c r="D56" s="13">
        <f t="shared" si="1"/>
        <v>-20505</v>
      </c>
      <c r="E56" s="12">
        <f t="shared" si="2"/>
        <v>-1.38E-2</v>
      </c>
      <c r="F56" s="17">
        <f t="shared" si="3"/>
        <v>15.87</v>
      </c>
      <c r="G56" s="8">
        <v>17.91</v>
      </c>
    </row>
    <row r="57" spans="1:7" x14ac:dyDescent="0.2">
      <c r="A57" s="10">
        <v>45931</v>
      </c>
      <c r="B57" s="11">
        <v>35597.89</v>
      </c>
      <c r="C57" s="12">
        <v>4.5100000000000001E-2</v>
      </c>
      <c r="D57" s="13">
        <f t="shared" si="1"/>
        <v>-12538.73</v>
      </c>
      <c r="E57" s="12">
        <f t="shared" si="2"/>
        <v>7.4999999999999997E-3</v>
      </c>
      <c r="F57" s="17">
        <f t="shared" si="3"/>
        <v>17.91</v>
      </c>
      <c r="G57" s="9">
        <v>18.75</v>
      </c>
    </row>
    <row r="58" spans="1:7" x14ac:dyDescent="0.2">
      <c r="A58" s="10">
        <v>45962</v>
      </c>
      <c r="B58" s="11">
        <v>2836.47</v>
      </c>
      <c r="C58" s="12">
        <v>1.8700000000000001E-2</v>
      </c>
      <c r="D58" s="13">
        <f t="shared" si="1"/>
        <v>35597.89</v>
      </c>
      <c r="E58" s="12">
        <f t="shared" si="2"/>
        <v>4.5100000000000001E-2</v>
      </c>
      <c r="F58" s="17">
        <f t="shared" si="3"/>
        <v>18.75</v>
      </c>
      <c r="G58" s="8">
        <v>15.23</v>
      </c>
    </row>
    <row r="59" spans="1:7" x14ac:dyDescent="0.2">
      <c r="A59" s="10">
        <v>45992</v>
      </c>
      <c r="B59" s="11">
        <v>-38568.47</v>
      </c>
      <c r="C59" s="12">
        <v>-1.6000000000000001E-3</v>
      </c>
      <c r="D59" s="13">
        <f t="shared" si="1"/>
        <v>2836.47</v>
      </c>
      <c r="E59" s="12">
        <f t="shared" si="2"/>
        <v>1.8700000000000001E-2</v>
      </c>
      <c r="F59" s="17">
        <f t="shared" si="3"/>
        <v>15.23</v>
      </c>
      <c r="G59" s="9">
        <v>14.95</v>
      </c>
    </row>
    <row r="60" spans="1:7" x14ac:dyDescent="0.2">
      <c r="A60" s="10">
        <v>46023</v>
      </c>
      <c r="B60" s="11">
        <v>-29240.26</v>
      </c>
      <c r="C60" s="12">
        <v>-3.1600000000000003E-2</v>
      </c>
      <c r="D60" s="13">
        <f t="shared" si="1"/>
        <v>-38568.47</v>
      </c>
      <c r="E60" s="12">
        <f t="shared" si="2"/>
        <v>-1.6000000000000001E-3</v>
      </c>
      <c r="F60" s="17">
        <f t="shared" si="3"/>
        <v>14.95</v>
      </c>
      <c r="G60" s="8">
        <v>18.420000000000002</v>
      </c>
    </row>
    <row r="61" spans="1:7" x14ac:dyDescent="0.2">
      <c r="A61" s="10">
        <v>46054</v>
      </c>
      <c r="B61" s="11">
        <v>37804.46</v>
      </c>
      <c r="C61" s="12">
        <v>1.4E-2</v>
      </c>
      <c r="D61" s="13">
        <f t="shared" si="1"/>
        <v>-29240.26</v>
      </c>
      <c r="E61" s="12">
        <f t="shared" si="2"/>
        <v>-3.1600000000000003E-2</v>
      </c>
      <c r="F61" s="17">
        <f t="shared" si="3"/>
        <v>18.420000000000002</v>
      </c>
      <c r="G61" s="9">
        <v>18.63</v>
      </c>
    </row>
    <row r="62" spans="1:7" x14ac:dyDescent="0.2">
      <c r="A62" s="10">
        <v>46082</v>
      </c>
      <c r="B62" s="11">
        <v>-72732.05</v>
      </c>
      <c r="C62" s="12">
        <v>-5.16E-2</v>
      </c>
      <c r="D62" s="13">
        <f t="shared" si="1"/>
        <v>37804.46</v>
      </c>
      <c r="E62" s="12">
        <f t="shared" si="2"/>
        <v>1.4E-2</v>
      </c>
      <c r="F62" s="17">
        <f t="shared" si="3"/>
        <v>18.63</v>
      </c>
      <c r="G62" s="8">
        <v>23.57</v>
      </c>
    </row>
    <row r="63" spans="1:7" x14ac:dyDescent="0.2">
      <c r="C63" s="12"/>
    </row>
    <row r="73" spans="4:4" x14ac:dyDescent="0.2">
      <c r="D73" s="7" t="s">
        <v>37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33D97-6A59-FA49-938B-45C19EE175D6}">
  <dimension ref="A1:J71"/>
  <sheetViews>
    <sheetView zoomScale="90" zoomScaleNormal="90" workbookViewId="0">
      <selection activeCell="J10" sqref="J10"/>
    </sheetView>
  </sheetViews>
  <sheetFormatPr baseColWidth="10" defaultRowHeight="16" x14ac:dyDescent="0.2"/>
  <cols>
    <col min="1" max="1" width="13.5" style="7" bestFit="1" customWidth="1"/>
    <col min="2" max="2" width="31.6640625" style="7" bestFit="1" customWidth="1"/>
    <col min="3" max="3" width="23.33203125" style="7" bestFit="1" customWidth="1"/>
    <col min="4" max="4" width="16.6640625" style="7" bestFit="1" customWidth="1"/>
    <col min="5" max="5" width="27.83203125" style="7" bestFit="1" customWidth="1"/>
    <col min="6" max="6" width="16.6640625" style="7" bestFit="1" customWidth="1"/>
    <col min="7" max="7" width="15.33203125" style="7" bestFit="1" customWidth="1"/>
    <col min="8" max="16384" width="10.83203125" style="7"/>
  </cols>
  <sheetData>
    <row r="1" spans="1:10" x14ac:dyDescent="0.2">
      <c r="A1" s="7" t="s">
        <v>0</v>
      </c>
      <c r="B1" s="6" t="s">
        <v>1</v>
      </c>
      <c r="C1" s="6" t="s">
        <v>2</v>
      </c>
      <c r="D1" s="7" t="s">
        <v>28</v>
      </c>
      <c r="E1" s="7" t="s">
        <v>36</v>
      </c>
      <c r="F1" s="7" t="s">
        <v>39</v>
      </c>
      <c r="G1" s="7" t="s">
        <v>27</v>
      </c>
    </row>
    <row r="2" spans="1:10" x14ac:dyDescent="0.2">
      <c r="A2" s="10">
        <v>44256</v>
      </c>
      <c r="B2" s="11">
        <v>17022.64</v>
      </c>
      <c r="C2" s="12">
        <v>1.11E-2</v>
      </c>
      <c r="D2" s="13" t="s">
        <v>29</v>
      </c>
      <c r="E2" s="7" t="s">
        <v>29</v>
      </c>
      <c r="F2" s="7" t="s">
        <v>29</v>
      </c>
      <c r="G2" s="8">
        <v>19.399999999999999</v>
      </c>
    </row>
    <row r="3" spans="1:10" x14ac:dyDescent="0.2">
      <c r="A3" s="10">
        <v>44287</v>
      </c>
      <c r="B3" s="11">
        <v>-8835.9</v>
      </c>
      <c r="C3" s="12">
        <v>-4.1000000000000003E-3</v>
      </c>
      <c r="D3" s="13">
        <f>B2</f>
        <v>17022.64</v>
      </c>
      <c r="E3" s="12">
        <f>C2</f>
        <v>1.11E-2</v>
      </c>
      <c r="F3" s="17">
        <f t="shared" ref="F3:F43" si="0">G2</f>
        <v>19.399999999999999</v>
      </c>
      <c r="G3" s="9">
        <v>18.61</v>
      </c>
      <c r="H3" s="12"/>
    </row>
    <row r="4" spans="1:10" x14ac:dyDescent="0.2">
      <c r="A4" s="10">
        <v>44317</v>
      </c>
      <c r="B4" s="11">
        <v>-1957.8</v>
      </c>
      <c r="C4" s="12">
        <v>6.5000000000000002E-2</v>
      </c>
      <c r="D4" s="13">
        <f t="shared" ref="D4:E43" si="1">B3</f>
        <v>-8835.9</v>
      </c>
      <c r="E4" s="12">
        <f t="shared" si="1"/>
        <v>-4.1000000000000003E-3</v>
      </c>
      <c r="F4" s="17">
        <f t="shared" si="0"/>
        <v>18.61</v>
      </c>
      <c r="G4" s="8">
        <v>16.760000000000002</v>
      </c>
      <c r="H4" s="12"/>
    </row>
    <row r="5" spans="1:10" x14ac:dyDescent="0.2">
      <c r="A5" s="10">
        <v>44348</v>
      </c>
      <c r="B5" s="11">
        <v>12973.97</v>
      </c>
      <c r="C5" s="12">
        <v>8.8999999999999999E-3</v>
      </c>
      <c r="D5" s="13">
        <f t="shared" si="1"/>
        <v>-1957.8</v>
      </c>
      <c r="E5" s="12">
        <f t="shared" si="1"/>
        <v>6.5000000000000002E-2</v>
      </c>
      <c r="F5" s="17">
        <f t="shared" si="0"/>
        <v>16.760000000000002</v>
      </c>
      <c r="G5" s="9">
        <v>15.83</v>
      </c>
      <c r="H5" s="12"/>
    </row>
    <row r="6" spans="1:10" x14ac:dyDescent="0.2">
      <c r="A6" s="10">
        <v>44378</v>
      </c>
      <c r="B6" s="11">
        <v>-7409.99</v>
      </c>
      <c r="C6" s="12">
        <v>2.5999999999999999E-3</v>
      </c>
      <c r="D6" s="13">
        <f t="shared" si="1"/>
        <v>12973.97</v>
      </c>
      <c r="E6" s="12">
        <f t="shared" si="1"/>
        <v>8.8999999999999999E-3</v>
      </c>
      <c r="F6" s="17">
        <f t="shared" si="0"/>
        <v>15.83</v>
      </c>
      <c r="G6" s="8">
        <v>18.239999999999998</v>
      </c>
      <c r="H6" s="12"/>
    </row>
    <row r="7" spans="1:10" x14ac:dyDescent="0.2">
      <c r="A7" s="10">
        <v>44409</v>
      </c>
      <c r="B7" s="11">
        <v>16555.95</v>
      </c>
      <c r="C7" s="12">
        <v>8.6900000000000005E-2</v>
      </c>
      <c r="D7" s="13">
        <f t="shared" si="1"/>
        <v>-7409.99</v>
      </c>
      <c r="E7" s="12">
        <f t="shared" si="1"/>
        <v>2.5999999999999999E-3</v>
      </c>
      <c r="F7" s="17">
        <f t="shared" si="0"/>
        <v>18.239999999999998</v>
      </c>
      <c r="G7" s="9">
        <v>16.48</v>
      </c>
      <c r="H7" s="12"/>
    </row>
    <row r="8" spans="1:10" x14ac:dyDescent="0.2">
      <c r="A8" s="10">
        <v>44440</v>
      </c>
      <c r="B8" s="11">
        <v>27755.71</v>
      </c>
      <c r="C8" s="12">
        <v>2.8400000000000002E-2</v>
      </c>
      <c r="D8" s="13">
        <f t="shared" si="1"/>
        <v>16555.95</v>
      </c>
      <c r="E8" s="12">
        <f t="shared" si="1"/>
        <v>8.6900000000000005E-2</v>
      </c>
      <c r="F8" s="17">
        <f t="shared" si="0"/>
        <v>16.48</v>
      </c>
      <c r="G8" s="8">
        <v>23.14</v>
      </c>
      <c r="H8" s="12"/>
      <c r="J8" s="7">
        <f>CORREL(D3:D62,F3:F62)</f>
        <v>-0.27743839501415973</v>
      </c>
    </row>
    <row r="9" spans="1:10" x14ac:dyDescent="0.2">
      <c r="A9" s="10">
        <v>44470</v>
      </c>
      <c r="B9" s="11">
        <v>-12436.92</v>
      </c>
      <c r="C9" s="12">
        <v>3.0000000000000001E-3</v>
      </c>
      <c r="D9" s="13">
        <f t="shared" si="1"/>
        <v>27755.71</v>
      </c>
      <c r="E9" s="12">
        <f t="shared" si="1"/>
        <v>2.8400000000000002E-2</v>
      </c>
      <c r="F9" s="17">
        <f t="shared" si="0"/>
        <v>23.14</v>
      </c>
      <c r="G9" s="9">
        <v>16.260000000000002</v>
      </c>
      <c r="H9" s="12"/>
      <c r="J9" s="7">
        <f>CORREL(D3:D62,G3:G62)</f>
        <v>-0.17748814376280392</v>
      </c>
    </row>
    <row r="10" spans="1:10" x14ac:dyDescent="0.2">
      <c r="A10" s="10">
        <v>44501</v>
      </c>
      <c r="B10" s="11">
        <v>-2520.7600000000002</v>
      </c>
      <c r="C10" s="12">
        <v>-3.9E-2</v>
      </c>
      <c r="D10" s="13">
        <f t="shared" si="1"/>
        <v>-12436.92</v>
      </c>
      <c r="E10" s="12">
        <f t="shared" si="1"/>
        <v>3.0000000000000001E-3</v>
      </c>
      <c r="F10" s="17">
        <f t="shared" si="0"/>
        <v>16.260000000000002</v>
      </c>
      <c r="G10" s="8">
        <v>27.19</v>
      </c>
      <c r="H10" s="12"/>
      <c r="J10" s="7">
        <f>CORREL(F3:F62,G3:G62)</f>
        <v>0.61709907047382473</v>
      </c>
    </row>
    <row r="11" spans="1:10" x14ac:dyDescent="0.2">
      <c r="A11" s="10">
        <v>44531</v>
      </c>
      <c r="B11" s="11">
        <v>-29702.19</v>
      </c>
      <c r="C11" s="12">
        <v>2.18E-2</v>
      </c>
      <c r="D11" s="13">
        <f t="shared" si="1"/>
        <v>-2520.7600000000002</v>
      </c>
      <c r="E11" s="12">
        <f t="shared" si="1"/>
        <v>-3.9E-2</v>
      </c>
      <c r="F11" s="17">
        <f t="shared" si="0"/>
        <v>27.19</v>
      </c>
      <c r="G11" s="9">
        <v>17.22</v>
      </c>
      <c r="H11" s="12"/>
    </row>
    <row r="12" spans="1:10" x14ac:dyDescent="0.2">
      <c r="A12" s="10">
        <v>44562</v>
      </c>
      <c r="B12" s="11">
        <v>-28526.3</v>
      </c>
      <c r="C12" s="12">
        <v>-8.0000000000000004E-4</v>
      </c>
      <c r="D12" s="13">
        <f t="shared" si="1"/>
        <v>-29702.19</v>
      </c>
      <c r="E12" s="12">
        <f t="shared" si="1"/>
        <v>2.18E-2</v>
      </c>
      <c r="F12" s="17">
        <f t="shared" si="0"/>
        <v>17.22</v>
      </c>
      <c r="G12" s="8">
        <v>24.87</v>
      </c>
      <c r="H12" s="12"/>
    </row>
    <row r="13" spans="1:10" x14ac:dyDescent="0.2">
      <c r="A13" s="10">
        <v>44593</v>
      </c>
      <c r="B13" s="11">
        <v>-38068.019999999997</v>
      </c>
      <c r="C13" s="12">
        <v>-3.15E-2</v>
      </c>
      <c r="D13" s="13">
        <f t="shared" si="1"/>
        <v>-28526.3</v>
      </c>
      <c r="E13" s="12">
        <f t="shared" si="1"/>
        <v>-8.0000000000000004E-4</v>
      </c>
      <c r="F13" s="17">
        <f t="shared" si="0"/>
        <v>24.87</v>
      </c>
      <c r="G13" s="9">
        <v>30.15</v>
      </c>
    </row>
    <row r="14" spans="1:10" x14ac:dyDescent="0.2">
      <c r="A14" s="10">
        <v>44621</v>
      </c>
      <c r="B14" s="11">
        <v>-50067.58</v>
      </c>
      <c r="C14" s="12">
        <v>3.9899999999999998E-2</v>
      </c>
      <c r="D14" s="13">
        <f t="shared" si="1"/>
        <v>-38068.019999999997</v>
      </c>
      <c r="E14" s="12">
        <f t="shared" si="1"/>
        <v>-3.15E-2</v>
      </c>
      <c r="F14" s="17">
        <f t="shared" si="0"/>
        <v>30.15</v>
      </c>
      <c r="G14" s="8">
        <v>20.56</v>
      </c>
    </row>
    <row r="15" spans="1:10" x14ac:dyDescent="0.2">
      <c r="A15" s="10">
        <v>44652</v>
      </c>
      <c r="B15" s="11">
        <v>-22688.37</v>
      </c>
      <c r="C15" s="12">
        <v>-2.07E-2</v>
      </c>
      <c r="D15" s="13">
        <f t="shared" si="1"/>
        <v>-50067.58</v>
      </c>
      <c r="E15" s="12">
        <f t="shared" si="1"/>
        <v>3.9899999999999998E-2</v>
      </c>
      <c r="F15" s="17">
        <f t="shared" si="0"/>
        <v>20.56</v>
      </c>
      <c r="G15" s="9">
        <v>33.4</v>
      </c>
      <c r="H15" s="12"/>
    </row>
    <row r="16" spans="1:10" x14ac:dyDescent="0.2">
      <c r="A16" s="10">
        <v>44682</v>
      </c>
      <c r="B16" s="11">
        <v>-36517.86</v>
      </c>
      <c r="C16" s="12">
        <v>-3.0300000000000001E-2</v>
      </c>
      <c r="D16" s="13">
        <f t="shared" si="1"/>
        <v>-22688.37</v>
      </c>
      <c r="E16" s="12">
        <f t="shared" si="1"/>
        <v>-2.07E-2</v>
      </c>
      <c r="F16" s="17">
        <f t="shared" si="0"/>
        <v>33.4</v>
      </c>
      <c r="G16" s="8">
        <v>26.19</v>
      </c>
      <c r="H16" s="12"/>
    </row>
    <row r="17" spans="1:8" x14ac:dyDescent="0.2">
      <c r="A17" s="10">
        <v>44713</v>
      </c>
      <c r="B17" s="11">
        <v>-51422.03</v>
      </c>
      <c r="C17" s="12">
        <v>-4.8500000000000001E-2</v>
      </c>
      <c r="D17" s="13">
        <f t="shared" si="1"/>
        <v>-36517.86</v>
      </c>
      <c r="E17" s="12">
        <f t="shared" si="1"/>
        <v>-3.0300000000000001E-2</v>
      </c>
      <c r="F17" s="17">
        <f t="shared" si="0"/>
        <v>26.19</v>
      </c>
      <c r="G17" s="9">
        <v>28.71</v>
      </c>
      <c r="H17" s="12"/>
    </row>
    <row r="18" spans="1:8" x14ac:dyDescent="0.2">
      <c r="A18" s="10">
        <v>44743</v>
      </c>
      <c r="B18" s="11">
        <v>1971.33</v>
      </c>
      <c r="C18" s="12">
        <v>8.7300000000000003E-2</v>
      </c>
      <c r="D18" s="13">
        <f t="shared" si="1"/>
        <v>-51422.03</v>
      </c>
      <c r="E18" s="12">
        <f t="shared" si="1"/>
        <v>-4.8500000000000001E-2</v>
      </c>
      <c r="F18" s="17">
        <f t="shared" si="0"/>
        <v>28.71</v>
      </c>
      <c r="G18" s="8">
        <v>21.33</v>
      </c>
      <c r="H18" s="12"/>
    </row>
    <row r="19" spans="1:8" x14ac:dyDescent="0.2">
      <c r="A19" s="10">
        <v>44774</v>
      </c>
      <c r="B19" s="11">
        <v>56521.1</v>
      </c>
      <c r="C19" s="12">
        <v>3.5000000000000003E-2</v>
      </c>
      <c r="D19" s="13">
        <f t="shared" si="1"/>
        <v>1971.33</v>
      </c>
      <c r="E19" s="12">
        <f t="shared" si="1"/>
        <v>8.7300000000000003E-2</v>
      </c>
      <c r="F19" s="17">
        <f t="shared" si="0"/>
        <v>21.33</v>
      </c>
      <c r="G19" s="9">
        <v>25.87</v>
      </c>
      <c r="H19" s="12"/>
    </row>
    <row r="20" spans="1:8" x14ac:dyDescent="0.2">
      <c r="A20" s="10">
        <v>44805</v>
      </c>
      <c r="B20" s="11">
        <v>-3955.31</v>
      </c>
      <c r="C20" s="12">
        <v>-3.7400000000000003E-2</v>
      </c>
      <c r="D20" s="13">
        <f t="shared" si="1"/>
        <v>56521.1</v>
      </c>
      <c r="E20" s="12">
        <f t="shared" si="1"/>
        <v>3.5000000000000003E-2</v>
      </c>
      <c r="F20" s="17">
        <f t="shared" si="0"/>
        <v>25.87</v>
      </c>
      <c r="G20" s="8">
        <v>31.62</v>
      </c>
      <c r="H20" s="12"/>
    </row>
    <row r="21" spans="1:8" x14ac:dyDescent="0.2">
      <c r="A21" s="10">
        <v>44835</v>
      </c>
      <c r="B21" s="11">
        <v>-3080.12</v>
      </c>
      <c r="C21" s="12">
        <v>5.3699999999999998E-2</v>
      </c>
      <c r="D21" s="13">
        <f t="shared" si="1"/>
        <v>-3955.31</v>
      </c>
      <c r="E21" s="12">
        <f t="shared" si="1"/>
        <v>-3.7400000000000003E-2</v>
      </c>
      <c r="F21" s="17">
        <f t="shared" si="0"/>
        <v>31.62</v>
      </c>
      <c r="G21" s="9">
        <v>25.88</v>
      </c>
      <c r="H21" s="12"/>
    </row>
    <row r="22" spans="1:8" x14ac:dyDescent="0.2">
      <c r="A22" s="10">
        <v>44866</v>
      </c>
      <c r="B22" s="11">
        <v>33847.26</v>
      </c>
      <c r="C22" s="12">
        <v>4.1399999999999999E-2</v>
      </c>
      <c r="D22" s="13">
        <f t="shared" si="1"/>
        <v>-3080.12</v>
      </c>
      <c r="E22" s="12">
        <f t="shared" si="1"/>
        <v>5.3699999999999998E-2</v>
      </c>
      <c r="F22" s="17">
        <f t="shared" si="0"/>
        <v>25.88</v>
      </c>
      <c r="G22" s="8">
        <v>20.57</v>
      </c>
      <c r="H22" s="12"/>
    </row>
    <row r="23" spans="1:8" x14ac:dyDescent="0.2">
      <c r="A23" s="10">
        <v>44896</v>
      </c>
      <c r="B23" s="11">
        <v>9170.68</v>
      </c>
      <c r="C23" s="12">
        <v>-3.4799999999999998E-2</v>
      </c>
      <c r="D23" s="13">
        <f t="shared" si="1"/>
        <v>33847.26</v>
      </c>
      <c r="E23" s="12">
        <f t="shared" si="1"/>
        <v>4.1399999999999999E-2</v>
      </c>
      <c r="F23" s="17">
        <f t="shared" si="0"/>
        <v>20.57</v>
      </c>
      <c r="G23" s="9">
        <v>21.67</v>
      </c>
      <c r="H23" s="12"/>
    </row>
    <row r="24" spans="1:8" x14ac:dyDescent="0.2">
      <c r="A24" s="10">
        <v>44927</v>
      </c>
      <c r="B24" s="11">
        <v>-26543.75</v>
      </c>
      <c r="C24" s="12">
        <v>-2.4500000000000001E-2</v>
      </c>
      <c r="D24" s="13">
        <f t="shared" si="1"/>
        <v>9170.68</v>
      </c>
      <c r="E24" s="12">
        <f t="shared" si="1"/>
        <v>-3.4799999999999998E-2</v>
      </c>
      <c r="F24" s="17">
        <f t="shared" si="0"/>
        <v>21.67</v>
      </c>
      <c r="G24" s="8">
        <v>18.399999999999999</v>
      </c>
      <c r="H24" s="12"/>
    </row>
    <row r="25" spans="1:8" x14ac:dyDescent="0.2">
      <c r="A25" s="10">
        <v>44958</v>
      </c>
      <c r="B25" s="11">
        <v>-4139.12</v>
      </c>
      <c r="C25" s="12">
        <v>-1.43E-2</v>
      </c>
      <c r="D25" s="13">
        <f t="shared" si="1"/>
        <v>-26543.75</v>
      </c>
      <c r="E25" s="12">
        <f t="shared" si="1"/>
        <v>-2.4500000000000001E-2</v>
      </c>
      <c r="F25" s="17">
        <f t="shared" si="0"/>
        <v>18.399999999999999</v>
      </c>
      <c r="G25" s="9">
        <v>20.7</v>
      </c>
    </row>
    <row r="26" spans="1:8" x14ac:dyDescent="0.2">
      <c r="A26" s="10">
        <v>44986</v>
      </c>
      <c r="B26" s="11">
        <v>5899.21</v>
      </c>
      <c r="C26" s="12">
        <v>-2.8999999999999998E-3</v>
      </c>
      <c r="D26" s="13">
        <f t="shared" si="1"/>
        <v>-4139.12</v>
      </c>
      <c r="E26" s="12">
        <f t="shared" si="1"/>
        <v>-1.43E-2</v>
      </c>
      <c r="F26" s="17">
        <f t="shared" si="0"/>
        <v>20.7</v>
      </c>
      <c r="G26" s="8">
        <v>18.7</v>
      </c>
    </row>
    <row r="27" spans="1:8" x14ac:dyDescent="0.2">
      <c r="A27" s="10">
        <v>45017</v>
      </c>
      <c r="B27" s="11">
        <v>13544.79</v>
      </c>
      <c r="C27" s="12">
        <v>4.0599999999999997E-2</v>
      </c>
      <c r="D27" s="13">
        <f t="shared" si="1"/>
        <v>5899.21</v>
      </c>
      <c r="E27" s="12">
        <f t="shared" si="1"/>
        <v>-2.8999999999999998E-3</v>
      </c>
      <c r="F27" s="17">
        <f t="shared" si="0"/>
        <v>18.7</v>
      </c>
      <c r="G27" s="9">
        <v>15.78</v>
      </c>
    </row>
    <row r="28" spans="1:8" x14ac:dyDescent="0.2">
      <c r="A28" s="10">
        <v>45047</v>
      </c>
      <c r="B28" s="11">
        <v>48329.55</v>
      </c>
      <c r="C28" s="12">
        <v>2.5999999999999999E-2</v>
      </c>
      <c r="D28" s="13">
        <f t="shared" si="1"/>
        <v>13544.79</v>
      </c>
      <c r="E28" s="12">
        <f t="shared" si="1"/>
        <v>4.0599999999999997E-2</v>
      </c>
      <c r="F28" s="17">
        <f t="shared" si="0"/>
        <v>15.78</v>
      </c>
      <c r="G28" s="8">
        <v>17.940000000000001</v>
      </c>
    </row>
    <row r="29" spans="1:8" x14ac:dyDescent="0.2">
      <c r="A29" s="10">
        <v>45078</v>
      </c>
      <c r="B29" s="11">
        <v>56257.7</v>
      </c>
      <c r="C29" s="12">
        <v>3.5299999999999998E-2</v>
      </c>
      <c r="D29" s="13">
        <f t="shared" si="1"/>
        <v>48329.55</v>
      </c>
      <c r="E29" s="12">
        <f t="shared" si="1"/>
        <v>2.5999999999999999E-2</v>
      </c>
      <c r="F29" s="17">
        <f t="shared" si="0"/>
        <v>17.940000000000001</v>
      </c>
      <c r="G29" s="9">
        <v>13.59</v>
      </c>
    </row>
    <row r="30" spans="1:8" x14ac:dyDescent="0.2">
      <c r="A30" s="10">
        <v>45108</v>
      </c>
      <c r="B30" s="11">
        <v>47977.08</v>
      </c>
      <c r="C30" s="12">
        <v>2.9399999999999999E-2</v>
      </c>
      <c r="D30" s="13">
        <f t="shared" si="1"/>
        <v>56257.7</v>
      </c>
      <c r="E30" s="12">
        <f t="shared" si="1"/>
        <v>3.5299999999999998E-2</v>
      </c>
      <c r="F30" s="17">
        <f t="shared" si="0"/>
        <v>13.59</v>
      </c>
      <c r="G30" s="8">
        <v>13.33</v>
      </c>
    </row>
    <row r="31" spans="1:8" x14ac:dyDescent="0.2">
      <c r="A31" s="10">
        <v>45139</v>
      </c>
      <c r="B31" s="11">
        <v>18337.82</v>
      </c>
      <c r="C31" s="12">
        <v>-2.53E-2</v>
      </c>
      <c r="D31" s="13">
        <f t="shared" si="1"/>
        <v>47977.08</v>
      </c>
      <c r="E31" s="12">
        <f t="shared" si="1"/>
        <v>2.9399999999999999E-2</v>
      </c>
      <c r="F31" s="17">
        <f t="shared" si="0"/>
        <v>13.33</v>
      </c>
      <c r="G31" s="9">
        <v>13.57</v>
      </c>
    </row>
    <row r="32" spans="1:8" x14ac:dyDescent="0.2">
      <c r="A32" s="10">
        <v>45170</v>
      </c>
      <c r="B32" s="11">
        <v>-13810.39</v>
      </c>
      <c r="C32" s="12">
        <v>0.02</v>
      </c>
      <c r="D32" s="13">
        <f t="shared" si="1"/>
        <v>18337.82</v>
      </c>
      <c r="E32" s="12">
        <f t="shared" si="1"/>
        <v>-2.53E-2</v>
      </c>
      <c r="F32" s="17">
        <f t="shared" si="0"/>
        <v>13.57</v>
      </c>
      <c r="G32" s="8">
        <v>17.52</v>
      </c>
    </row>
    <row r="33" spans="1:7" x14ac:dyDescent="0.2">
      <c r="A33" s="10">
        <v>45200</v>
      </c>
      <c r="B33" s="11">
        <v>-17875.46</v>
      </c>
      <c r="C33" s="12">
        <v>-2.8400000000000002E-2</v>
      </c>
      <c r="D33" s="13">
        <f t="shared" si="1"/>
        <v>-13810.39</v>
      </c>
      <c r="E33" s="12">
        <f t="shared" si="1"/>
        <v>0.02</v>
      </c>
      <c r="F33" s="17">
        <f t="shared" si="0"/>
        <v>17.52</v>
      </c>
      <c r="G33" s="9">
        <v>18.14</v>
      </c>
    </row>
    <row r="34" spans="1:7" x14ac:dyDescent="0.2">
      <c r="A34" s="10">
        <v>45231</v>
      </c>
      <c r="B34" s="11">
        <v>24546.41</v>
      </c>
      <c r="C34" s="12">
        <v>5.5199999999999999E-2</v>
      </c>
      <c r="D34" s="13">
        <f t="shared" si="1"/>
        <v>-17875.46</v>
      </c>
      <c r="E34" s="12">
        <f t="shared" si="1"/>
        <v>-2.8400000000000002E-2</v>
      </c>
      <c r="F34" s="17">
        <f t="shared" si="0"/>
        <v>18.14</v>
      </c>
      <c r="G34" s="8">
        <v>12.92</v>
      </c>
    </row>
    <row r="35" spans="1:7" x14ac:dyDescent="0.2">
      <c r="A35" s="10">
        <v>45261</v>
      </c>
      <c r="B35" s="11">
        <v>84537.43</v>
      </c>
      <c r="C35" s="12">
        <v>7.9399999999999998E-2</v>
      </c>
      <c r="D35" s="13">
        <f t="shared" si="1"/>
        <v>24546.41</v>
      </c>
      <c r="E35" s="12">
        <f t="shared" si="1"/>
        <v>5.5199999999999999E-2</v>
      </c>
      <c r="F35" s="17">
        <f t="shared" si="0"/>
        <v>12.92</v>
      </c>
      <c r="G35" s="9">
        <v>12.45</v>
      </c>
    </row>
    <row r="36" spans="1:7" x14ac:dyDescent="0.2">
      <c r="A36" s="10">
        <v>45292</v>
      </c>
      <c r="B36" s="11">
        <v>-6593.34</v>
      </c>
      <c r="C36" s="12">
        <v>-2.9999999999999997E-4</v>
      </c>
      <c r="D36" s="13">
        <f t="shared" si="1"/>
        <v>84537.43</v>
      </c>
      <c r="E36" s="12">
        <f t="shared" si="1"/>
        <v>7.9399999999999998E-2</v>
      </c>
      <c r="F36" s="17">
        <f t="shared" si="0"/>
        <v>12.45</v>
      </c>
      <c r="G36" s="8">
        <v>14.35</v>
      </c>
    </row>
    <row r="37" spans="1:7" x14ac:dyDescent="0.2">
      <c r="A37" s="10">
        <v>45323</v>
      </c>
      <c r="B37" s="11">
        <v>31816.83</v>
      </c>
      <c r="C37" s="12">
        <v>1.18E-2</v>
      </c>
      <c r="D37" s="13">
        <f t="shared" si="1"/>
        <v>-6593.34</v>
      </c>
      <c r="E37" s="12">
        <f>C36</f>
        <v>-2.9999999999999997E-4</v>
      </c>
      <c r="F37" s="17">
        <f t="shared" si="0"/>
        <v>14.35</v>
      </c>
      <c r="G37" s="9">
        <v>13.4</v>
      </c>
    </row>
    <row r="38" spans="1:7" x14ac:dyDescent="0.2">
      <c r="A38" s="10">
        <v>45352</v>
      </c>
      <c r="B38" s="11">
        <v>51996.2</v>
      </c>
      <c r="C38" s="12">
        <v>1.5699999999999999E-2</v>
      </c>
      <c r="D38" s="13">
        <f t="shared" si="1"/>
        <v>31816.83</v>
      </c>
      <c r="E38" s="12">
        <f t="shared" si="1"/>
        <v>1.18E-2</v>
      </c>
      <c r="F38" s="17">
        <f t="shared" si="0"/>
        <v>13.4</v>
      </c>
      <c r="G38" s="8">
        <v>13.01</v>
      </c>
    </row>
    <row r="39" spans="1:7" x14ac:dyDescent="0.2">
      <c r="A39" s="10">
        <v>45383</v>
      </c>
      <c r="B39" s="11">
        <v>-16260.02</v>
      </c>
      <c r="C39" s="12">
        <v>1.24E-2</v>
      </c>
      <c r="D39" s="13">
        <f t="shared" si="1"/>
        <v>51996.2</v>
      </c>
      <c r="E39" s="12">
        <f t="shared" si="1"/>
        <v>1.5699999999999999E-2</v>
      </c>
      <c r="F39" s="17">
        <f t="shared" si="0"/>
        <v>13.01</v>
      </c>
      <c r="G39" s="9">
        <v>15.65</v>
      </c>
    </row>
    <row r="40" spans="1:7" x14ac:dyDescent="0.2">
      <c r="A40" s="10">
        <v>45413</v>
      </c>
      <c r="B40" s="11">
        <v>-12910.86</v>
      </c>
      <c r="C40" s="12">
        <v>-3.3E-3</v>
      </c>
      <c r="D40" s="13">
        <f t="shared" si="1"/>
        <v>-16260.02</v>
      </c>
      <c r="E40" s="12">
        <f t="shared" si="1"/>
        <v>1.24E-2</v>
      </c>
      <c r="F40" s="17">
        <f t="shared" si="0"/>
        <v>15.65</v>
      </c>
      <c r="G40" s="8">
        <v>12.92</v>
      </c>
    </row>
    <row r="41" spans="1:7" x14ac:dyDescent="0.2">
      <c r="A41" s="10">
        <v>45444</v>
      </c>
      <c r="B41" s="11">
        <v>41757.440000000002</v>
      </c>
      <c r="C41" s="12">
        <v>6.5699999999999995E-2</v>
      </c>
      <c r="D41" s="13">
        <f t="shared" si="1"/>
        <v>-12910.86</v>
      </c>
      <c r="E41" s="12">
        <f t="shared" si="1"/>
        <v>-3.3E-3</v>
      </c>
      <c r="F41" s="17">
        <f t="shared" si="0"/>
        <v>12.92</v>
      </c>
      <c r="G41" s="9">
        <v>12.44</v>
      </c>
    </row>
    <row r="42" spans="1:7" x14ac:dyDescent="0.2">
      <c r="A42" s="10">
        <v>45474</v>
      </c>
      <c r="B42" s="11">
        <v>48796.04</v>
      </c>
      <c r="C42" s="12">
        <v>3.9199999999999999E-2</v>
      </c>
      <c r="D42" s="13">
        <f t="shared" si="1"/>
        <v>41757.440000000002</v>
      </c>
      <c r="E42" s="12">
        <f t="shared" si="1"/>
        <v>6.5699999999999995E-2</v>
      </c>
      <c r="F42" s="17">
        <f t="shared" si="0"/>
        <v>12.44</v>
      </c>
      <c r="G42" s="8">
        <v>16.36</v>
      </c>
    </row>
    <row r="43" spans="1:7" x14ac:dyDescent="0.2">
      <c r="A43" s="10">
        <v>45505</v>
      </c>
      <c r="B43" s="11">
        <v>25493.29</v>
      </c>
      <c r="C43" s="12">
        <v>1.14E-2</v>
      </c>
      <c r="D43" s="13">
        <f t="shared" si="1"/>
        <v>48796.04</v>
      </c>
      <c r="E43" s="12">
        <f t="shared" si="1"/>
        <v>3.9199999999999999E-2</v>
      </c>
      <c r="F43" s="17">
        <f t="shared" si="0"/>
        <v>16.36</v>
      </c>
      <c r="G43" s="9">
        <v>15</v>
      </c>
    </row>
    <row r="44" spans="1:7" x14ac:dyDescent="0.2">
      <c r="A44" s="10">
        <v>45597</v>
      </c>
      <c r="B44" s="11">
        <v>-21444</v>
      </c>
      <c r="C44" s="12">
        <v>-3.0999999999999999E-3</v>
      </c>
      <c r="D44" s="13">
        <v>-96357.63</v>
      </c>
      <c r="E44" s="12">
        <v>-6.2199999999999998E-2</v>
      </c>
      <c r="F44" s="17">
        <v>18.14</v>
      </c>
      <c r="G44" s="8">
        <v>13.04</v>
      </c>
    </row>
    <row r="45" spans="1:7" x14ac:dyDescent="0.2">
      <c r="A45" s="10">
        <v>45627</v>
      </c>
      <c r="B45" s="11">
        <v>25938.34</v>
      </c>
      <c r="C45" s="12">
        <v>-2.0199999999999999E-2</v>
      </c>
      <c r="D45" s="13">
        <f t="shared" ref="D45:D60" si="2">B44</f>
        <v>-21444</v>
      </c>
      <c r="E45" s="12">
        <f t="shared" ref="E45:E60" si="3">C44</f>
        <v>-3.0999999999999999E-3</v>
      </c>
      <c r="F45" s="17">
        <f t="shared" ref="F45:F60" si="4">G44</f>
        <v>13.04</v>
      </c>
      <c r="G45" s="9">
        <v>12.45</v>
      </c>
    </row>
    <row r="46" spans="1:7" x14ac:dyDescent="0.2">
      <c r="A46" s="10">
        <v>45658</v>
      </c>
      <c r="B46" s="11">
        <v>-77211.03</v>
      </c>
      <c r="C46" s="12">
        <v>-5.7999999999999996E-3</v>
      </c>
      <c r="D46" s="13">
        <f t="shared" si="2"/>
        <v>25938.34</v>
      </c>
      <c r="E46" s="12">
        <f t="shared" si="3"/>
        <v>-2.0199999999999999E-2</v>
      </c>
      <c r="F46" s="17">
        <f t="shared" si="4"/>
        <v>12.45</v>
      </c>
      <c r="G46" s="8">
        <v>14.62</v>
      </c>
    </row>
    <row r="47" spans="1:7" x14ac:dyDescent="0.2">
      <c r="A47" s="10">
        <v>45689</v>
      </c>
      <c r="B47" s="11">
        <v>-24300.63</v>
      </c>
      <c r="C47" s="12">
        <v>-5.8900000000000001E-2</v>
      </c>
      <c r="D47" s="13">
        <f t="shared" si="2"/>
        <v>-77211.03</v>
      </c>
      <c r="E47" s="12">
        <f t="shared" si="3"/>
        <v>-5.7999999999999996E-3</v>
      </c>
      <c r="F47" s="17">
        <f t="shared" si="4"/>
        <v>14.62</v>
      </c>
      <c r="G47" s="9">
        <v>13.4</v>
      </c>
    </row>
    <row r="48" spans="1:7" x14ac:dyDescent="0.2">
      <c r="A48" s="10">
        <v>45717</v>
      </c>
      <c r="B48" s="11">
        <v>32981.360000000001</v>
      </c>
      <c r="C48" s="12">
        <v>5.8299999999999998E-2</v>
      </c>
      <c r="D48" s="13">
        <f t="shared" si="2"/>
        <v>-24300.63</v>
      </c>
      <c r="E48" s="12">
        <f t="shared" si="3"/>
        <v>-5.8900000000000001E-2</v>
      </c>
      <c r="F48" s="17">
        <f t="shared" si="4"/>
        <v>13.4</v>
      </c>
      <c r="G48" s="8">
        <v>15.05</v>
      </c>
    </row>
    <row r="49" spans="1:7" x14ac:dyDescent="0.2">
      <c r="A49" s="10">
        <v>45748</v>
      </c>
      <c r="B49" s="11">
        <v>-20189.93</v>
      </c>
      <c r="C49" s="12">
        <v>3.9300000000000002E-2</v>
      </c>
      <c r="D49" s="13">
        <f t="shared" si="2"/>
        <v>32981.360000000001</v>
      </c>
      <c r="E49" s="12">
        <f t="shared" si="3"/>
        <v>5.8299999999999998E-2</v>
      </c>
      <c r="F49" s="17">
        <f t="shared" si="4"/>
        <v>15.05</v>
      </c>
      <c r="G49" s="9">
        <v>19.23</v>
      </c>
    </row>
    <row r="50" spans="1:7" x14ac:dyDescent="0.2">
      <c r="A50" s="10">
        <v>45778</v>
      </c>
      <c r="B50" s="11">
        <v>30949.71</v>
      </c>
      <c r="C50" s="12">
        <v>1.7100000000000001E-2</v>
      </c>
      <c r="D50" s="13">
        <f t="shared" si="2"/>
        <v>-20189.93</v>
      </c>
      <c r="E50" s="12">
        <f t="shared" si="3"/>
        <v>3.9300000000000002E-2</v>
      </c>
      <c r="F50" s="17">
        <f t="shared" si="4"/>
        <v>19.23</v>
      </c>
      <c r="G50" s="8">
        <v>16.98</v>
      </c>
    </row>
    <row r="51" spans="1:7" x14ac:dyDescent="0.2">
      <c r="A51" s="10">
        <v>45809</v>
      </c>
      <c r="B51" s="11">
        <v>-7563.08</v>
      </c>
      <c r="C51" s="12">
        <v>3.1E-2</v>
      </c>
      <c r="D51" s="13">
        <f t="shared" si="2"/>
        <v>30949.71</v>
      </c>
      <c r="E51" s="12">
        <f t="shared" si="3"/>
        <v>1.7100000000000001E-2</v>
      </c>
      <c r="F51" s="17">
        <f t="shared" si="4"/>
        <v>16.98</v>
      </c>
      <c r="G51" s="9">
        <v>15.23</v>
      </c>
    </row>
    <row r="52" spans="1:7" x14ac:dyDescent="0.2">
      <c r="A52" s="10">
        <v>45839</v>
      </c>
      <c r="B52" s="11">
        <v>-5537.69</v>
      </c>
      <c r="C52" s="12">
        <v>-2.93E-2</v>
      </c>
      <c r="D52" s="13">
        <f t="shared" si="2"/>
        <v>-7563.08</v>
      </c>
      <c r="E52" s="12">
        <f t="shared" si="3"/>
        <v>3.1E-2</v>
      </c>
      <c r="F52" s="17">
        <f t="shared" si="4"/>
        <v>15.23</v>
      </c>
      <c r="G52" s="8">
        <v>14.12</v>
      </c>
    </row>
    <row r="53" spans="1:7" x14ac:dyDescent="0.2">
      <c r="A53" s="10">
        <v>45870</v>
      </c>
      <c r="B53" s="11">
        <v>-20505</v>
      </c>
      <c r="C53" s="12">
        <v>-1.38E-2</v>
      </c>
      <c r="D53" s="13">
        <f t="shared" si="2"/>
        <v>-5537.69</v>
      </c>
      <c r="E53" s="12">
        <f t="shared" si="3"/>
        <v>-2.93E-2</v>
      </c>
      <c r="F53" s="17">
        <f t="shared" si="4"/>
        <v>14.12</v>
      </c>
      <c r="G53" s="9">
        <v>15.87</v>
      </c>
    </row>
    <row r="54" spans="1:7" x14ac:dyDescent="0.2">
      <c r="A54" s="10">
        <v>45901</v>
      </c>
      <c r="B54" s="11">
        <v>-12538.73</v>
      </c>
      <c r="C54" s="12">
        <v>7.4999999999999997E-3</v>
      </c>
      <c r="D54" s="13">
        <f t="shared" si="2"/>
        <v>-20505</v>
      </c>
      <c r="E54" s="12">
        <f t="shared" si="3"/>
        <v>-1.38E-2</v>
      </c>
      <c r="F54" s="17">
        <f t="shared" si="4"/>
        <v>15.87</v>
      </c>
      <c r="G54" s="8">
        <v>17.91</v>
      </c>
    </row>
    <row r="55" spans="1:7" x14ac:dyDescent="0.2">
      <c r="A55" s="10">
        <v>45931</v>
      </c>
      <c r="B55" s="11">
        <v>35597.89</v>
      </c>
      <c r="C55" s="12">
        <v>4.5100000000000001E-2</v>
      </c>
      <c r="D55" s="13">
        <f t="shared" si="2"/>
        <v>-12538.73</v>
      </c>
      <c r="E55" s="12">
        <f t="shared" si="3"/>
        <v>7.4999999999999997E-3</v>
      </c>
      <c r="F55" s="17">
        <f t="shared" si="4"/>
        <v>17.91</v>
      </c>
      <c r="G55" s="9">
        <v>18.75</v>
      </c>
    </row>
    <row r="56" spans="1:7" x14ac:dyDescent="0.2">
      <c r="A56" s="10">
        <v>45962</v>
      </c>
      <c r="B56" s="11">
        <v>2836.47</v>
      </c>
      <c r="C56" s="12">
        <v>1.8700000000000001E-2</v>
      </c>
      <c r="D56" s="13">
        <f t="shared" si="2"/>
        <v>35597.89</v>
      </c>
      <c r="E56" s="12">
        <f t="shared" si="3"/>
        <v>4.5100000000000001E-2</v>
      </c>
      <c r="F56" s="17">
        <f t="shared" si="4"/>
        <v>18.75</v>
      </c>
      <c r="G56" s="8">
        <v>15.23</v>
      </c>
    </row>
    <row r="57" spans="1:7" x14ac:dyDescent="0.2">
      <c r="A57" s="10">
        <v>45992</v>
      </c>
      <c r="B57" s="11">
        <v>-38568.47</v>
      </c>
      <c r="C57" s="12">
        <v>-1.6000000000000001E-3</v>
      </c>
      <c r="D57" s="13">
        <f t="shared" si="2"/>
        <v>2836.47</v>
      </c>
      <c r="E57" s="12">
        <f t="shared" si="3"/>
        <v>1.8700000000000001E-2</v>
      </c>
      <c r="F57" s="17">
        <f t="shared" si="4"/>
        <v>15.23</v>
      </c>
      <c r="G57" s="9">
        <v>14.95</v>
      </c>
    </row>
    <row r="58" spans="1:7" x14ac:dyDescent="0.2">
      <c r="A58" s="10">
        <v>46023</v>
      </c>
      <c r="B58" s="11">
        <v>-29240.26</v>
      </c>
      <c r="C58" s="12">
        <v>-3.1600000000000003E-2</v>
      </c>
      <c r="D58" s="13">
        <f t="shared" si="2"/>
        <v>-38568.47</v>
      </c>
      <c r="E58" s="12">
        <f t="shared" si="3"/>
        <v>-1.6000000000000001E-3</v>
      </c>
      <c r="F58" s="17">
        <f t="shared" si="4"/>
        <v>14.95</v>
      </c>
      <c r="G58" s="8">
        <v>18.420000000000002</v>
      </c>
    </row>
    <row r="59" spans="1:7" x14ac:dyDescent="0.2">
      <c r="A59" s="10">
        <v>46054</v>
      </c>
      <c r="B59" s="11">
        <v>37804.46</v>
      </c>
      <c r="C59" s="12">
        <v>1.4E-2</v>
      </c>
      <c r="D59" s="13">
        <f t="shared" si="2"/>
        <v>-29240.26</v>
      </c>
      <c r="E59" s="12">
        <f t="shared" si="3"/>
        <v>-3.1600000000000003E-2</v>
      </c>
      <c r="F59" s="17">
        <f t="shared" si="4"/>
        <v>18.420000000000002</v>
      </c>
      <c r="G59" s="9">
        <v>18.63</v>
      </c>
    </row>
    <row r="60" spans="1:7" x14ac:dyDescent="0.2">
      <c r="A60" s="10">
        <v>46082</v>
      </c>
      <c r="B60" s="11">
        <v>-72732.05</v>
      </c>
      <c r="C60" s="12">
        <v>-5.16E-2</v>
      </c>
      <c r="D60" s="13">
        <f t="shared" si="2"/>
        <v>37804.46</v>
      </c>
      <c r="E60" s="12">
        <f t="shared" si="3"/>
        <v>1.4E-2</v>
      </c>
      <c r="F60" s="17">
        <f t="shared" si="4"/>
        <v>18.63</v>
      </c>
      <c r="G60" s="8">
        <v>23.57</v>
      </c>
    </row>
    <row r="61" spans="1:7" x14ac:dyDescent="0.2">
      <c r="C61" s="12"/>
    </row>
    <row r="71" spans="4:4" x14ac:dyDescent="0.2">
      <c r="D71" s="7" t="s">
        <v>37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10437-806E-614C-AE84-6242C8331FFA}">
  <dimension ref="A1:I84"/>
  <sheetViews>
    <sheetView tabSelected="1" workbookViewId="0">
      <selection activeCell="J29" sqref="J29"/>
    </sheetView>
  </sheetViews>
  <sheetFormatPr baseColWidth="10" defaultRowHeight="16" x14ac:dyDescent="0.2"/>
  <sheetData>
    <row r="1" spans="1:9" x14ac:dyDescent="0.2">
      <c r="A1" t="s">
        <v>3</v>
      </c>
    </row>
    <row r="2" spans="1:9" ht="17" thickBot="1" x14ac:dyDescent="0.25"/>
    <row r="3" spans="1:9" x14ac:dyDescent="0.2">
      <c r="A3" s="16" t="s">
        <v>4</v>
      </c>
      <c r="B3" s="16"/>
    </row>
    <row r="4" spans="1:9" x14ac:dyDescent="0.2">
      <c r="A4" t="s">
        <v>5</v>
      </c>
      <c r="B4">
        <v>0.42478100494627846</v>
      </c>
    </row>
    <row r="5" spans="1:9" x14ac:dyDescent="0.2">
      <c r="A5" t="s">
        <v>6</v>
      </c>
      <c r="B5">
        <v>0.18043890216317027</v>
      </c>
    </row>
    <row r="6" spans="1:9" x14ac:dyDescent="0.2">
      <c r="A6" t="s">
        <v>7</v>
      </c>
      <c r="B6">
        <v>0.13490773006112416</v>
      </c>
    </row>
    <row r="7" spans="1:9" x14ac:dyDescent="0.2">
      <c r="A7" t="s">
        <v>8</v>
      </c>
      <c r="B7">
        <v>31015.597595235256</v>
      </c>
    </row>
    <row r="8" spans="1:9" ht="17" thickBot="1" x14ac:dyDescent="0.25">
      <c r="A8" s="14" t="s">
        <v>9</v>
      </c>
      <c r="B8" s="14">
        <v>58</v>
      </c>
    </row>
    <row r="10" spans="1:9" ht="17" thickBot="1" x14ac:dyDescent="0.25">
      <c r="A10" t="s">
        <v>10</v>
      </c>
    </row>
    <row r="11" spans="1:9" x14ac:dyDescent="0.2">
      <c r="A11" s="15"/>
      <c r="B11" s="15" t="s">
        <v>15</v>
      </c>
      <c r="C11" s="15" t="s">
        <v>16</v>
      </c>
      <c r="D11" s="15" t="s">
        <v>17</v>
      </c>
      <c r="E11" s="15" t="s">
        <v>18</v>
      </c>
      <c r="F11" s="15" t="s">
        <v>19</v>
      </c>
    </row>
    <row r="12" spans="1:9" x14ac:dyDescent="0.2">
      <c r="A12" t="s">
        <v>11</v>
      </c>
      <c r="B12">
        <v>3</v>
      </c>
      <c r="C12">
        <v>11436757355.471634</v>
      </c>
      <c r="D12">
        <v>3812252451.8238778</v>
      </c>
      <c r="E12">
        <v>3.9629751186453999</v>
      </c>
      <c r="F12">
        <v>1.2609645064854933E-2</v>
      </c>
    </row>
    <row r="13" spans="1:9" x14ac:dyDescent="0.2">
      <c r="A13" t="s">
        <v>12</v>
      </c>
      <c r="B13">
        <v>54</v>
      </c>
      <c r="C13">
        <v>51946233886.236404</v>
      </c>
      <c r="D13">
        <v>961967294.18956304</v>
      </c>
    </row>
    <row r="14" spans="1:9" ht="17" thickBot="1" x14ac:dyDescent="0.25">
      <c r="A14" s="14" t="s">
        <v>13</v>
      </c>
      <c r="B14" s="14">
        <v>57</v>
      </c>
      <c r="C14" s="14">
        <v>63382991241.708038</v>
      </c>
      <c r="D14" s="14"/>
      <c r="E14" s="14"/>
      <c r="F14" s="14"/>
    </row>
    <row r="15" spans="1:9" ht="17" thickBot="1" x14ac:dyDescent="0.25"/>
    <row r="16" spans="1:9" x14ac:dyDescent="0.2">
      <c r="A16" s="15"/>
      <c r="B16" s="15" t="s">
        <v>20</v>
      </c>
      <c r="C16" s="15" t="s">
        <v>8</v>
      </c>
      <c r="D16" s="15" t="s">
        <v>21</v>
      </c>
      <c r="E16" s="15" t="s">
        <v>22</v>
      </c>
      <c r="F16" s="15" t="s">
        <v>23</v>
      </c>
      <c r="G16" s="15" t="s">
        <v>24</v>
      </c>
      <c r="H16" s="15" t="s">
        <v>25</v>
      </c>
      <c r="I16" s="15" t="s">
        <v>26</v>
      </c>
    </row>
    <row r="17" spans="1:9" x14ac:dyDescent="0.2">
      <c r="A17" t="s">
        <v>14</v>
      </c>
      <c r="B17">
        <v>23225.874594057896</v>
      </c>
      <c r="C17">
        <v>16369.071064672802</v>
      </c>
      <c r="D17">
        <v>1.4188877610888515</v>
      </c>
      <c r="E17">
        <v>0.16167810518241513</v>
      </c>
      <c r="F17">
        <v>-9592.1369503830447</v>
      </c>
      <c r="G17">
        <v>56043.886138498834</v>
      </c>
      <c r="H17">
        <v>-9592.1369503830447</v>
      </c>
      <c r="I17">
        <v>56043.886138498834</v>
      </c>
    </row>
    <row r="18" spans="1:9" x14ac:dyDescent="0.2">
      <c r="A18" t="s">
        <v>30</v>
      </c>
      <c r="B18">
        <v>-6.1558417609991461E-3</v>
      </c>
      <c r="C18">
        <v>0.14669378422108847</v>
      </c>
      <c r="D18">
        <v>-4.1963889565500699E-2</v>
      </c>
      <c r="E18">
        <v>0.96668226401529822</v>
      </c>
      <c r="F18">
        <v>-0.30025917145178754</v>
      </c>
      <c r="G18">
        <v>0.28794748792978925</v>
      </c>
      <c r="H18">
        <v>-0.30025917145178754</v>
      </c>
      <c r="I18">
        <v>0.28794748792978925</v>
      </c>
    </row>
    <row r="19" spans="1:9" x14ac:dyDescent="0.2">
      <c r="A19" t="s">
        <v>35</v>
      </c>
      <c r="B19">
        <v>302007.9927925017</v>
      </c>
      <c r="C19">
        <v>140647.02363120957</v>
      </c>
      <c r="D19">
        <v>2.1472761029369281</v>
      </c>
      <c r="E19">
        <v>3.6278084060025674E-2</v>
      </c>
      <c r="F19">
        <v>20027.688168993329</v>
      </c>
      <c r="G19">
        <v>583988.29741601006</v>
      </c>
      <c r="H19">
        <v>20027.688168993329</v>
      </c>
      <c r="I19">
        <v>583988.29741601006</v>
      </c>
    </row>
    <row r="20" spans="1:9" ht="17" thickBot="1" x14ac:dyDescent="0.25">
      <c r="A20" s="14" t="s">
        <v>38</v>
      </c>
      <c r="B20" s="14">
        <v>-1336.6352064049288</v>
      </c>
      <c r="C20" s="14">
        <v>849.11326313597101</v>
      </c>
      <c r="D20" s="14">
        <v>-1.574154196424193</v>
      </c>
      <c r="E20" s="14">
        <v>0.12129307490279216</v>
      </c>
      <c r="F20" s="14">
        <v>-3039.0048009920133</v>
      </c>
      <c r="G20" s="14">
        <v>365.73438818215573</v>
      </c>
      <c r="H20" s="14">
        <v>-3039.0048009920133</v>
      </c>
      <c r="I20" s="14">
        <v>365.73438818215573</v>
      </c>
    </row>
    <row r="24" spans="1:9" x14ac:dyDescent="0.2">
      <c r="A24" t="s">
        <v>31</v>
      </c>
    </row>
    <row r="25" spans="1:9" ht="17" thickBot="1" x14ac:dyDescent="0.25"/>
    <row r="26" spans="1:9" x14ac:dyDescent="0.2">
      <c r="A26" s="15" t="s">
        <v>32</v>
      </c>
      <c r="B26" s="15" t="s">
        <v>33</v>
      </c>
      <c r="C26" s="15" t="s">
        <v>34</v>
      </c>
    </row>
    <row r="27" spans="1:9" x14ac:dyDescent="0.2">
      <c r="A27">
        <v>1</v>
      </c>
      <c r="B27">
        <v>542.6516316045944</v>
      </c>
      <c r="C27">
        <v>-9378.5516316045941</v>
      </c>
    </row>
    <row r="28" spans="1:9" x14ac:dyDescent="0.2">
      <c r="A28">
        <v>2</v>
      </c>
      <c r="B28">
        <v>-2832.7469653710714</v>
      </c>
      <c r="C28">
        <v>874.94696537107143</v>
      </c>
    </row>
    <row r="29" spans="1:9" x14ac:dyDescent="0.2">
      <c r="A29">
        <v>3</v>
      </c>
      <c r="B29">
        <v>20466.43997322358</v>
      </c>
      <c r="C29">
        <v>-7492.4699732235804</v>
      </c>
    </row>
    <row r="30" spans="1:9" x14ac:dyDescent="0.2">
      <c r="A30">
        <v>4</v>
      </c>
      <c r="B30">
        <v>4674.9447061891851</v>
      </c>
      <c r="C30">
        <v>-12084.934706189186</v>
      </c>
    </row>
    <row r="31" spans="1:9" x14ac:dyDescent="0.2">
      <c r="A31">
        <v>5</v>
      </c>
      <c r="B31">
        <v>-323.5160636169112</v>
      </c>
      <c r="C31">
        <v>16879.466063616914</v>
      </c>
    </row>
    <row r="32" spans="1:9" x14ac:dyDescent="0.2">
      <c r="A32">
        <v>6</v>
      </c>
      <c r="B32">
        <v>27340.705157770059</v>
      </c>
      <c r="C32">
        <v>415.00484222994055</v>
      </c>
    </row>
    <row r="33" spans="1:3" x14ac:dyDescent="0.2">
      <c r="A33">
        <v>7</v>
      </c>
      <c r="B33">
        <v>702.3031544307097</v>
      </c>
      <c r="C33">
        <v>-13139.223154430711</v>
      </c>
    </row>
    <row r="34" spans="1:3" x14ac:dyDescent="0.2">
      <c r="A34">
        <v>8</v>
      </c>
      <c r="B34">
        <v>2474.7698278054627</v>
      </c>
      <c r="C34">
        <v>-4995.5298278054634</v>
      </c>
    </row>
    <row r="35" spans="1:3" x14ac:dyDescent="0.2">
      <c r="A35">
        <v>9</v>
      </c>
      <c r="B35">
        <v>-24880.030987322229</v>
      </c>
      <c r="C35">
        <v>-4822.1590126777701</v>
      </c>
    </row>
    <row r="36" spans="1:3" x14ac:dyDescent="0.2">
      <c r="A36">
        <v>10</v>
      </c>
      <c r="B36">
        <v>6975.6325642366919</v>
      </c>
      <c r="C36">
        <v>-35501.932564236689</v>
      </c>
    </row>
    <row r="37" spans="1:3" x14ac:dyDescent="0.2">
      <c r="A37">
        <v>11</v>
      </c>
      <c r="B37">
        <v>-10082.245994639898</v>
      </c>
      <c r="C37">
        <v>-27985.774005360101</v>
      </c>
    </row>
    <row r="38" spans="1:3" x14ac:dyDescent="0.2">
      <c r="A38">
        <v>12</v>
      </c>
      <c r="B38">
        <v>-26352.58794473996</v>
      </c>
      <c r="C38">
        <v>-23714.992055260042</v>
      </c>
    </row>
    <row r="39" spans="1:3" x14ac:dyDescent="0.2">
      <c r="A39">
        <v>13</v>
      </c>
      <c r="B39">
        <v>8102.9817626295426</v>
      </c>
      <c r="C39">
        <v>-30791.351762629543</v>
      </c>
    </row>
    <row r="40" spans="1:3" x14ac:dyDescent="0.2">
      <c r="A40">
        <v>14</v>
      </c>
      <c r="B40">
        <v>-27529.640735136509</v>
      </c>
      <c r="C40">
        <v>-8988.2192648634918</v>
      </c>
    </row>
    <row r="41" spans="1:3" x14ac:dyDescent="0.2">
      <c r="A41">
        <v>15</v>
      </c>
      <c r="B41">
        <v>-20706.645475689675</v>
      </c>
      <c r="C41">
        <v>-30715.384524310324</v>
      </c>
    </row>
    <row r="42" spans="1:3" x14ac:dyDescent="0.2">
      <c r="A42">
        <v>16</v>
      </c>
      <c r="B42">
        <v>-29479.763952554593</v>
      </c>
      <c r="C42">
        <v>31451.093952554591</v>
      </c>
    </row>
    <row r="43" spans="1:3" x14ac:dyDescent="0.2">
      <c r="A43">
        <v>17</v>
      </c>
      <c r="B43">
        <v>21068.608216687451</v>
      </c>
      <c r="C43">
        <v>35452.491783312551</v>
      </c>
    </row>
    <row r="44" spans="1:3" x14ac:dyDescent="0.2">
      <c r="A44">
        <v>18</v>
      </c>
      <c r="B44">
        <v>-1130.5333956576671</v>
      </c>
      <c r="C44">
        <v>-2824.7766043423326</v>
      </c>
    </row>
    <row r="45" spans="1:3" x14ac:dyDescent="0.2">
      <c r="A45">
        <v>19</v>
      </c>
      <c r="B45">
        <v>-30309.281300429822</v>
      </c>
      <c r="C45">
        <v>27229.161300429823</v>
      </c>
    </row>
    <row r="46" spans="1:3" x14ac:dyDescent="0.2">
      <c r="A46">
        <v>20</v>
      </c>
      <c r="B46">
        <v>4870.5453965805709</v>
      </c>
      <c r="C46">
        <v>28976.71460341943</v>
      </c>
    </row>
    <row r="47" spans="1:3" x14ac:dyDescent="0.2">
      <c r="A47">
        <v>21</v>
      </c>
      <c r="B47">
        <v>8026.0609233146879</v>
      </c>
      <c r="C47">
        <v>1144.6190766853124</v>
      </c>
    </row>
    <row r="48" spans="1:3" x14ac:dyDescent="0.2">
      <c r="A48">
        <v>22</v>
      </c>
      <c r="B48">
        <v>-16305.341732836729</v>
      </c>
      <c r="C48">
        <v>-10238.408267163271</v>
      </c>
    </row>
    <row r="49" spans="1:3" x14ac:dyDescent="0.2">
      <c r="A49">
        <v>23</v>
      </c>
      <c r="B49">
        <v>-8604.0099024655628</v>
      </c>
      <c r="C49">
        <v>4464.889902465563</v>
      </c>
    </row>
    <row r="50" spans="1:3" x14ac:dyDescent="0.2">
      <c r="A50">
        <v>24</v>
      </c>
      <c r="B50">
        <v>-8735.7087077071174</v>
      </c>
      <c r="C50">
        <v>14634.918707707118</v>
      </c>
    </row>
    <row r="51" spans="1:3" x14ac:dyDescent="0.2">
      <c r="A51">
        <v>25</v>
      </c>
      <c r="B51">
        <v>-2681.3415480874282</v>
      </c>
      <c r="C51">
        <v>16226.131548087429</v>
      </c>
    </row>
    <row r="52" spans="1:3" x14ac:dyDescent="0.2">
      <c r="A52">
        <v>26</v>
      </c>
      <c r="B52">
        <v>14311.915960437724</v>
      </c>
      <c r="C52">
        <v>34017.634039562283</v>
      </c>
    </row>
    <row r="53" spans="1:3" x14ac:dyDescent="0.2">
      <c r="A53">
        <v>27</v>
      </c>
      <c r="B53">
        <v>6801.3377415782197</v>
      </c>
      <c r="C53">
        <v>49456.362258421781</v>
      </c>
    </row>
    <row r="54" spans="1:3" x14ac:dyDescent="0.2">
      <c r="A54">
        <v>28</v>
      </c>
      <c r="B54">
        <v>15375.570785552462</v>
      </c>
      <c r="C54">
        <v>32601.509214447542</v>
      </c>
    </row>
    <row r="55" spans="1:3" x14ac:dyDescent="0.2">
      <c r="A55">
        <v>29</v>
      </c>
      <c r="B55">
        <v>13992.222968144946</v>
      </c>
      <c r="C55">
        <v>4345.5970318550535</v>
      </c>
    </row>
    <row r="56" spans="1:3" x14ac:dyDescent="0.2">
      <c r="A56">
        <v>30</v>
      </c>
      <c r="B56">
        <v>-2665.9520926689652</v>
      </c>
      <c r="C56">
        <v>-11144.437907331034</v>
      </c>
    </row>
    <row r="57" spans="1:3" x14ac:dyDescent="0.2">
      <c r="A57">
        <v>31</v>
      </c>
      <c r="B57">
        <v>5933.2002091912609</v>
      </c>
      <c r="C57">
        <v>-23808.660209191261</v>
      </c>
    </row>
    <row r="58" spans="1:3" x14ac:dyDescent="0.2">
      <c r="A58">
        <v>32</v>
      </c>
      <c r="B58">
        <v>-9487.6765422694934</v>
      </c>
      <c r="C58">
        <v>34034.086542269491</v>
      </c>
    </row>
    <row r="59" spans="1:3" x14ac:dyDescent="0.2">
      <c r="A59">
        <v>33</v>
      </c>
      <c r="B59">
        <v>22476.285113691705</v>
      </c>
      <c r="C59">
        <v>62061.144886308291</v>
      </c>
    </row>
    <row r="60" spans="1:3" x14ac:dyDescent="0.2">
      <c r="A60">
        <v>34</v>
      </c>
      <c r="B60">
        <v>30043.801860079628</v>
      </c>
      <c r="C60">
        <v>-36637.141860079631</v>
      </c>
    </row>
    <row r="61" spans="1:3" x14ac:dyDescent="0.2">
      <c r="A61">
        <v>35</v>
      </c>
      <c r="B61">
        <v>3995.1445420258851</v>
      </c>
      <c r="C61">
        <v>27821.685457974116</v>
      </c>
    </row>
    <row r="62" spans="1:3" x14ac:dyDescent="0.2">
      <c r="A62">
        <v>36</v>
      </c>
      <c r="B62">
        <v>8682.7977723667591</v>
      </c>
      <c r="C62">
        <v>43313.40222763324</v>
      </c>
    </row>
    <row r="63" spans="1:3" x14ac:dyDescent="0.2">
      <c r="A63">
        <v>37</v>
      </c>
      <c r="B63">
        <v>10257.695666198788</v>
      </c>
      <c r="C63">
        <v>-26517.71566619879</v>
      </c>
    </row>
    <row r="64" spans="1:3" x14ac:dyDescent="0.2">
      <c r="A64">
        <v>38</v>
      </c>
      <c r="B64">
        <v>6152.5268345984614</v>
      </c>
      <c r="C64">
        <v>-19063.386834598463</v>
      </c>
    </row>
    <row r="65" spans="1:3" x14ac:dyDescent="0.2">
      <c r="A65">
        <v>39</v>
      </c>
      <c r="B65">
        <v>5039.3985622493738</v>
      </c>
      <c r="C65">
        <v>36718.041437750631</v>
      </c>
    </row>
    <row r="66" spans="1:3" x14ac:dyDescent="0.2">
      <c r="A66">
        <v>40</v>
      </c>
      <c r="B66">
        <v>26183.00555986353</v>
      </c>
      <c r="C66">
        <v>22613.034440136471</v>
      </c>
    </row>
    <row r="67" spans="1:3" x14ac:dyDescent="0.2">
      <c r="A67">
        <v>41</v>
      </c>
      <c r="B67">
        <v>12896.855233935941</v>
      </c>
      <c r="C67">
        <v>12596.43476606406</v>
      </c>
    </row>
    <row r="68" spans="1:3" x14ac:dyDescent="0.2">
      <c r="A68">
        <v>42</v>
      </c>
      <c r="B68">
        <v>-19212.422879076214</v>
      </c>
      <c r="C68">
        <v>-2231.5771209237864</v>
      </c>
    </row>
    <row r="69" spans="1:3" x14ac:dyDescent="0.2">
      <c r="A69">
        <v>43</v>
      </c>
      <c r="B69">
        <v>4991.9325956037364</v>
      </c>
      <c r="C69">
        <v>20946.407404396265</v>
      </c>
    </row>
    <row r="70" spans="1:3" x14ac:dyDescent="0.2">
      <c r="A70">
        <v>44</v>
      </c>
      <c r="B70">
        <v>324.53250332500664</v>
      </c>
      <c r="C70">
        <v>-77535.562503325011</v>
      </c>
    </row>
    <row r="71" spans="1:3" x14ac:dyDescent="0.2">
      <c r="A71">
        <v>45</v>
      </c>
      <c r="B71">
        <v>2407.9204011050856</v>
      </c>
      <c r="C71">
        <v>-26708.550401105087</v>
      </c>
    </row>
    <row r="72" spans="1:3" x14ac:dyDescent="0.2">
      <c r="A72">
        <v>46</v>
      </c>
      <c r="B72">
        <v>-12323.717114273912</v>
      </c>
      <c r="C72">
        <v>45305.07711427391</v>
      </c>
    </row>
    <row r="73" spans="1:3" x14ac:dyDescent="0.2">
      <c r="A73">
        <v>47</v>
      </c>
      <c r="B73">
        <v>20513.552684244016</v>
      </c>
      <c r="C73">
        <v>-40703.482684244016</v>
      </c>
    </row>
    <row r="74" spans="1:3" x14ac:dyDescent="0.2">
      <c r="A74">
        <v>48</v>
      </c>
      <c r="B74">
        <v>9515.5797058820826</v>
      </c>
      <c r="C74">
        <v>21434.130294117916</v>
      </c>
    </row>
    <row r="75" spans="1:3" x14ac:dyDescent="0.2">
      <c r="A75">
        <v>49</v>
      </c>
      <c r="B75">
        <v>5503.6239487451694</v>
      </c>
      <c r="C75">
        <v>-13066.703948745169</v>
      </c>
    </row>
    <row r="76" spans="1:3" x14ac:dyDescent="0.2">
      <c r="A76">
        <v>50</v>
      </c>
      <c r="B76">
        <v>12277.725300784161</v>
      </c>
      <c r="C76">
        <v>-17815.41530078416</v>
      </c>
    </row>
    <row r="77" spans="1:3" x14ac:dyDescent="0.2">
      <c r="A77">
        <v>51</v>
      </c>
      <c r="B77">
        <v>-4462.1595658385304</v>
      </c>
      <c r="C77">
        <v>-16042.84043416147</v>
      </c>
    </row>
    <row r="78" spans="1:3" x14ac:dyDescent="0.2">
      <c r="A78">
        <v>52</v>
      </c>
      <c r="B78">
        <v>-2028.0108968155598</v>
      </c>
      <c r="C78">
        <v>-10510.71910318444</v>
      </c>
    </row>
    <row r="79" spans="1:3" x14ac:dyDescent="0.2">
      <c r="A79">
        <v>53</v>
      </c>
      <c r="B79">
        <v>1628.9844310532746</v>
      </c>
      <c r="C79">
        <v>33968.905568946728</v>
      </c>
    </row>
    <row r="80" spans="1:3" x14ac:dyDescent="0.2">
      <c r="A80">
        <v>54</v>
      </c>
      <c r="B80">
        <v>11565.389971041854</v>
      </c>
      <c r="C80">
        <v>-8728.9199710418543</v>
      </c>
    </row>
    <row r="81" spans="1:3" x14ac:dyDescent="0.2">
      <c r="A81">
        <v>55</v>
      </c>
      <c r="B81">
        <v>8499.0090052507912</v>
      </c>
      <c r="C81">
        <v>-47067.479005250789</v>
      </c>
    </row>
    <row r="82" spans="1:3" x14ac:dyDescent="0.2">
      <c r="A82">
        <v>56</v>
      </c>
      <c r="B82">
        <v>2997.3868681200506</v>
      </c>
      <c r="C82">
        <v>-32237.646868120049</v>
      </c>
    </row>
    <row r="83" spans="1:3" x14ac:dyDescent="0.2">
      <c r="A83">
        <v>57</v>
      </c>
      <c r="B83">
        <v>-10758.400066553479</v>
      </c>
      <c r="C83">
        <v>48562.860066553476</v>
      </c>
    </row>
    <row r="84" spans="1:3" ht="17" thickBot="1" x14ac:dyDescent="0.25">
      <c r="A84" s="14">
        <v>58</v>
      </c>
      <c r="B84" s="14">
        <v>2319.7543242090742</v>
      </c>
      <c r="C84" s="14">
        <v>-75051.804324209079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2B0CC-33D9-5B43-B267-656DA163DD38}">
  <dimension ref="A1:I84"/>
  <sheetViews>
    <sheetView workbookViewId="0">
      <selection activeCell="K11" sqref="K11"/>
    </sheetView>
  </sheetViews>
  <sheetFormatPr baseColWidth="10" defaultRowHeight="16" x14ac:dyDescent="0.2"/>
  <cols>
    <col min="1" max="1" width="17.83203125" bestFit="1" customWidth="1"/>
    <col min="2" max="2" width="12.83203125" bestFit="1" customWidth="1"/>
    <col min="3" max="3" width="13.5" bestFit="1" customWidth="1"/>
  </cols>
  <sheetData>
    <row r="1" spans="1:9" x14ac:dyDescent="0.2">
      <c r="A1" t="s">
        <v>3</v>
      </c>
    </row>
    <row r="2" spans="1:9" ht="17" thickBot="1" x14ac:dyDescent="0.25"/>
    <row r="3" spans="1:9" x14ac:dyDescent="0.2">
      <c r="A3" s="16" t="s">
        <v>4</v>
      </c>
      <c r="B3" s="16"/>
    </row>
    <row r="4" spans="1:9" x14ac:dyDescent="0.2">
      <c r="A4" t="s">
        <v>5</v>
      </c>
      <c r="B4">
        <v>0.31774952043150662</v>
      </c>
    </row>
    <row r="5" spans="1:9" x14ac:dyDescent="0.2">
      <c r="A5" t="s">
        <v>6</v>
      </c>
      <c r="B5">
        <v>0.10096475773445243</v>
      </c>
    </row>
    <row r="6" spans="1:9" x14ac:dyDescent="0.2">
      <c r="A6" t="s">
        <v>7</v>
      </c>
      <c r="B6">
        <v>8.5464150109184372E-2</v>
      </c>
    </row>
    <row r="7" spans="1:9" x14ac:dyDescent="0.2">
      <c r="A7" t="s">
        <v>8</v>
      </c>
      <c r="B7">
        <v>35528.069604035867</v>
      </c>
    </row>
    <row r="8" spans="1:9" ht="17" thickBot="1" x14ac:dyDescent="0.25">
      <c r="A8" s="14" t="s">
        <v>9</v>
      </c>
      <c r="B8" s="14">
        <v>60</v>
      </c>
    </row>
    <row r="10" spans="1:9" ht="17" thickBot="1" x14ac:dyDescent="0.25">
      <c r="A10" t="s">
        <v>10</v>
      </c>
    </row>
    <row r="11" spans="1:9" x14ac:dyDescent="0.2">
      <c r="A11" s="15"/>
      <c r="B11" s="15" t="s">
        <v>15</v>
      </c>
      <c r="C11" s="15" t="s">
        <v>16</v>
      </c>
      <c r="D11" s="15" t="s">
        <v>17</v>
      </c>
      <c r="E11" s="15" t="s">
        <v>18</v>
      </c>
      <c r="F11" s="15" t="s">
        <v>19</v>
      </c>
    </row>
    <row r="12" spans="1:9" x14ac:dyDescent="0.2">
      <c r="A12" t="s">
        <v>11</v>
      </c>
      <c r="B12">
        <v>1</v>
      </c>
      <c r="C12">
        <v>8221750750.741684</v>
      </c>
      <c r="D12">
        <v>8221750750.741684</v>
      </c>
      <c r="E12">
        <v>6.5135999939683904</v>
      </c>
      <c r="F12">
        <v>1.3361520020152414E-2</v>
      </c>
    </row>
    <row r="13" spans="1:9" x14ac:dyDescent="0.2">
      <c r="A13" t="s">
        <v>12</v>
      </c>
      <c r="B13">
        <v>58</v>
      </c>
      <c r="C13">
        <v>73210136327.774597</v>
      </c>
      <c r="D13">
        <v>1262243729.7892172</v>
      </c>
    </row>
    <row r="14" spans="1:9" ht="17" thickBot="1" x14ac:dyDescent="0.25">
      <c r="A14" s="14" t="s">
        <v>13</v>
      </c>
      <c r="B14" s="14">
        <v>59</v>
      </c>
      <c r="C14" s="14">
        <v>81431887078.516281</v>
      </c>
      <c r="D14" s="14"/>
      <c r="E14" s="14"/>
      <c r="F14" s="14"/>
    </row>
    <row r="15" spans="1:9" ht="17" thickBot="1" x14ac:dyDescent="0.25"/>
    <row r="16" spans="1:9" x14ac:dyDescent="0.2">
      <c r="A16" s="15"/>
      <c r="B16" s="15" t="s">
        <v>20</v>
      </c>
      <c r="C16" s="15" t="s">
        <v>8</v>
      </c>
      <c r="D16" s="15" t="s">
        <v>21</v>
      </c>
      <c r="E16" s="15" t="s">
        <v>22</v>
      </c>
      <c r="F16" s="15" t="s">
        <v>23</v>
      </c>
      <c r="G16" s="15" t="s">
        <v>24</v>
      </c>
      <c r="H16" s="15" t="s">
        <v>25</v>
      </c>
      <c r="I16" s="15" t="s">
        <v>26</v>
      </c>
    </row>
    <row r="17" spans="1:9" x14ac:dyDescent="0.2">
      <c r="A17" t="s">
        <v>14</v>
      </c>
      <c r="B17">
        <v>-1795.0949825965126</v>
      </c>
      <c r="C17">
        <v>4776.0726113633164</v>
      </c>
      <c r="D17">
        <v>-0.37585169419861642</v>
      </c>
      <c r="E17">
        <v>0.70839838767553442</v>
      </c>
      <c r="F17">
        <v>-11355.443034309654</v>
      </c>
      <c r="G17">
        <v>7765.2530691166285</v>
      </c>
      <c r="H17">
        <v>-11355.443034309654</v>
      </c>
      <c r="I17">
        <v>7765.2530691166285</v>
      </c>
    </row>
    <row r="18" spans="1:9" ht="17" thickBot="1" x14ac:dyDescent="0.25">
      <c r="A18" s="14" t="s">
        <v>30</v>
      </c>
      <c r="B18" s="14">
        <v>335240.43885548372</v>
      </c>
      <c r="C18" s="14">
        <v>131354.77298536382</v>
      </c>
      <c r="D18" s="14">
        <v>2.5521755413702234</v>
      </c>
      <c r="E18" s="14">
        <v>1.3361520020152368E-2</v>
      </c>
      <c r="F18" s="14">
        <v>72305.293144752752</v>
      </c>
      <c r="G18" s="14">
        <v>598175.5845662147</v>
      </c>
      <c r="H18" s="14">
        <v>72305.293144752752</v>
      </c>
      <c r="I18" s="14">
        <v>598175.5845662147</v>
      </c>
    </row>
    <row r="22" spans="1:9" x14ac:dyDescent="0.2">
      <c r="A22" t="s">
        <v>31</v>
      </c>
    </row>
    <row r="23" spans="1:9" ht="17" thickBot="1" x14ac:dyDescent="0.25"/>
    <row r="24" spans="1:9" x14ac:dyDescent="0.2">
      <c r="A24" s="15" t="s">
        <v>32</v>
      </c>
      <c r="B24" s="15" t="s">
        <v>33</v>
      </c>
      <c r="C24" s="15" t="s">
        <v>34</v>
      </c>
    </row>
    <row r="25" spans="1:9" x14ac:dyDescent="0.2">
      <c r="A25">
        <v>1</v>
      </c>
      <c r="B25">
        <v>1926.0738886993568</v>
      </c>
      <c r="C25">
        <v>-10761.973888699356</v>
      </c>
    </row>
    <row r="26" spans="1:9" x14ac:dyDescent="0.2">
      <c r="A26">
        <v>2</v>
      </c>
      <c r="B26">
        <v>-3169.580781903996</v>
      </c>
      <c r="C26">
        <v>1211.7807819039961</v>
      </c>
    </row>
    <row r="27" spans="1:9" x14ac:dyDescent="0.2">
      <c r="A27">
        <v>3</v>
      </c>
      <c r="B27">
        <v>19995.533543009929</v>
      </c>
      <c r="C27">
        <v>-7021.5635430099301</v>
      </c>
    </row>
    <row r="28" spans="1:9" x14ac:dyDescent="0.2">
      <c r="A28">
        <v>4</v>
      </c>
      <c r="B28">
        <v>1188.5449232172925</v>
      </c>
      <c r="C28">
        <v>-8598.5349232172921</v>
      </c>
    </row>
    <row r="29" spans="1:9" x14ac:dyDescent="0.2">
      <c r="A29">
        <v>5</v>
      </c>
      <c r="B29">
        <v>-923.46984157225495</v>
      </c>
      <c r="C29">
        <v>17479.419841572257</v>
      </c>
    </row>
    <row r="30" spans="1:9" x14ac:dyDescent="0.2">
      <c r="A30">
        <v>6</v>
      </c>
      <c r="B30">
        <v>27337.299153945023</v>
      </c>
      <c r="C30">
        <v>418.41084605497599</v>
      </c>
    </row>
    <row r="31" spans="1:9" x14ac:dyDescent="0.2">
      <c r="A31">
        <v>7</v>
      </c>
      <c r="B31">
        <v>7725.7334808992255</v>
      </c>
      <c r="C31">
        <v>-20162.653480899226</v>
      </c>
    </row>
    <row r="32" spans="1:9" x14ac:dyDescent="0.2">
      <c r="A32">
        <v>8</v>
      </c>
      <c r="B32">
        <v>-789.37366603006149</v>
      </c>
      <c r="C32">
        <v>-1731.3863339699387</v>
      </c>
    </row>
    <row r="33" spans="1:3" x14ac:dyDescent="0.2">
      <c r="A33">
        <v>9</v>
      </c>
      <c r="B33">
        <v>-14869.472097960377</v>
      </c>
      <c r="C33">
        <v>-14832.717902039622</v>
      </c>
    </row>
    <row r="34" spans="1:3" x14ac:dyDescent="0.2">
      <c r="A34">
        <v>10</v>
      </c>
      <c r="B34">
        <v>5513.1465844530321</v>
      </c>
      <c r="C34">
        <v>-34039.446584453035</v>
      </c>
    </row>
    <row r="35" spans="1:3" x14ac:dyDescent="0.2">
      <c r="A35">
        <v>11</v>
      </c>
      <c r="B35">
        <v>-2063.2873336808998</v>
      </c>
      <c r="C35">
        <v>-36004.732666319098</v>
      </c>
    </row>
    <row r="36" spans="1:3" x14ac:dyDescent="0.2">
      <c r="A36">
        <v>12</v>
      </c>
      <c r="B36">
        <v>-12355.16880654425</v>
      </c>
      <c r="C36">
        <v>-37712.411193455751</v>
      </c>
    </row>
    <row r="37" spans="1:3" x14ac:dyDescent="0.2">
      <c r="A37">
        <v>13</v>
      </c>
      <c r="B37">
        <v>11580.998527737287</v>
      </c>
      <c r="C37">
        <v>-34269.368527737286</v>
      </c>
    </row>
    <row r="38" spans="1:3" x14ac:dyDescent="0.2">
      <c r="A38">
        <v>14</v>
      </c>
      <c r="B38">
        <v>-8734.5720669050261</v>
      </c>
      <c r="C38">
        <v>-27783.287933094973</v>
      </c>
    </row>
    <row r="39" spans="1:3" x14ac:dyDescent="0.2">
      <c r="A39">
        <v>15</v>
      </c>
      <c r="B39">
        <v>-11952.88027991767</v>
      </c>
      <c r="C39">
        <v>-39469.149720082329</v>
      </c>
    </row>
    <row r="40" spans="1:3" x14ac:dyDescent="0.2">
      <c r="A40">
        <v>16</v>
      </c>
      <c r="B40">
        <v>-18054.256267087472</v>
      </c>
      <c r="C40">
        <v>20025.58626708747</v>
      </c>
    </row>
    <row r="41" spans="1:3" x14ac:dyDescent="0.2">
      <c r="A41">
        <v>17</v>
      </c>
      <c r="B41">
        <v>27471.395329487215</v>
      </c>
      <c r="C41">
        <v>29049.704670512783</v>
      </c>
    </row>
    <row r="42" spans="1:3" x14ac:dyDescent="0.2">
      <c r="A42">
        <v>18</v>
      </c>
      <c r="B42">
        <v>9938.3203773454188</v>
      </c>
      <c r="C42">
        <v>-13893.630377345418</v>
      </c>
    </row>
    <row r="43" spans="1:3" x14ac:dyDescent="0.2">
      <c r="A43">
        <v>19</v>
      </c>
      <c r="B43">
        <v>-14333.087395791605</v>
      </c>
      <c r="C43">
        <v>11252.967395791606</v>
      </c>
    </row>
    <row r="44" spans="1:3" x14ac:dyDescent="0.2">
      <c r="A44">
        <v>20</v>
      </c>
      <c r="B44">
        <v>16207.316583942962</v>
      </c>
      <c r="C44">
        <v>17639.943416057038</v>
      </c>
    </row>
    <row r="45" spans="1:3" x14ac:dyDescent="0.2">
      <c r="A45">
        <v>21</v>
      </c>
      <c r="B45">
        <v>12083.859186020512</v>
      </c>
      <c r="C45">
        <v>-2913.1791860205121</v>
      </c>
    </row>
    <row r="46" spans="1:3" x14ac:dyDescent="0.2">
      <c r="A46">
        <v>22</v>
      </c>
      <c r="B46">
        <v>-13461.462254767346</v>
      </c>
      <c r="C46">
        <v>-13082.287745232654</v>
      </c>
    </row>
    <row r="47" spans="1:3" x14ac:dyDescent="0.2">
      <c r="A47">
        <v>23</v>
      </c>
      <c r="B47">
        <v>-10008.485734555865</v>
      </c>
      <c r="C47">
        <v>5869.3657345558649</v>
      </c>
    </row>
    <row r="48" spans="1:3" x14ac:dyDescent="0.2">
      <c r="A48">
        <v>24</v>
      </c>
      <c r="B48">
        <v>-6589.0332582299297</v>
      </c>
      <c r="C48">
        <v>12488.24325822993</v>
      </c>
    </row>
    <row r="49" spans="1:3" x14ac:dyDescent="0.2">
      <c r="A49">
        <v>25</v>
      </c>
      <c r="B49">
        <v>-2767.2922552774153</v>
      </c>
      <c r="C49">
        <v>16312.082255277415</v>
      </c>
    </row>
    <row r="50" spans="1:3" x14ac:dyDescent="0.2">
      <c r="A50">
        <v>26</v>
      </c>
      <c r="B50">
        <v>11815.666834936126</v>
      </c>
      <c r="C50">
        <v>36513.883165063875</v>
      </c>
    </row>
    <row r="51" spans="1:3" x14ac:dyDescent="0.2">
      <c r="A51">
        <v>27</v>
      </c>
      <c r="B51">
        <v>6921.156427646064</v>
      </c>
      <c r="C51">
        <v>49336.543572353934</v>
      </c>
    </row>
    <row r="52" spans="1:3" x14ac:dyDescent="0.2">
      <c r="A52">
        <v>28</v>
      </c>
      <c r="B52">
        <v>10038.892509002062</v>
      </c>
      <c r="C52">
        <v>37938.187490997938</v>
      </c>
    </row>
    <row r="53" spans="1:3" x14ac:dyDescent="0.2">
      <c r="A53">
        <v>29</v>
      </c>
      <c r="B53">
        <v>8060.9739197547087</v>
      </c>
      <c r="C53">
        <v>10276.84608024529</v>
      </c>
    </row>
    <row r="54" spans="1:3" x14ac:dyDescent="0.2">
      <c r="A54">
        <v>30</v>
      </c>
      <c r="B54">
        <v>-10276.678085640251</v>
      </c>
      <c r="C54">
        <v>-3533.7119143597483</v>
      </c>
    </row>
    <row r="55" spans="1:3" x14ac:dyDescent="0.2">
      <c r="A55">
        <v>31</v>
      </c>
      <c r="B55">
        <v>4909.7137945131617</v>
      </c>
      <c r="C55">
        <v>-22785.173794513161</v>
      </c>
    </row>
    <row r="56" spans="1:3" x14ac:dyDescent="0.2">
      <c r="A56">
        <v>32</v>
      </c>
      <c r="B56">
        <v>-11315.923446092251</v>
      </c>
      <c r="C56">
        <v>35862.333446092249</v>
      </c>
    </row>
    <row r="57" spans="1:3" x14ac:dyDescent="0.2">
      <c r="A57">
        <v>33</v>
      </c>
      <c r="B57">
        <v>16710.177242226189</v>
      </c>
      <c r="C57">
        <v>67827.252757773807</v>
      </c>
    </row>
    <row r="58" spans="1:3" x14ac:dyDescent="0.2">
      <c r="A58">
        <v>34</v>
      </c>
      <c r="B58">
        <v>24822.995862528893</v>
      </c>
      <c r="C58">
        <v>-31416.335862528893</v>
      </c>
    </row>
    <row r="59" spans="1:3" x14ac:dyDescent="0.2">
      <c r="A59">
        <v>35</v>
      </c>
      <c r="B59">
        <v>-1895.6671142531577</v>
      </c>
      <c r="C59">
        <v>33712.497114253158</v>
      </c>
    </row>
    <row r="60" spans="1:3" x14ac:dyDescent="0.2">
      <c r="A60">
        <v>36</v>
      </c>
      <c r="B60">
        <v>2160.742195898195</v>
      </c>
      <c r="C60">
        <v>49835.457804101803</v>
      </c>
    </row>
    <row r="61" spans="1:3" x14ac:dyDescent="0.2">
      <c r="A61">
        <v>37</v>
      </c>
      <c r="B61">
        <v>3468.1799074345813</v>
      </c>
      <c r="C61">
        <v>-19728.19990743458</v>
      </c>
    </row>
    <row r="62" spans="1:3" x14ac:dyDescent="0.2">
      <c r="A62">
        <v>38</v>
      </c>
      <c r="B62">
        <v>2361.8864592114855</v>
      </c>
      <c r="C62">
        <v>-15272.746459211487</v>
      </c>
    </row>
    <row r="63" spans="1:3" x14ac:dyDescent="0.2">
      <c r="A63">
        <v>39</v>
      </c>
      <c r="B63">
        <v>-2901.3884308196089</v>
      </c>
      <c r="C63">
        <v>44658.828430819609</v>
      </c>
    </row>
    <row r="64" spans="1:3" x14ac:dyDescent="0.2">
      <c r="A64">
        <v>40</v>
      </c>
      <c r="B64">
        <v>20230.201850208767</v>
      </c>
      <c r="C64">
        <v>28565.838149791234</v>
      </c>
    </row>
    <row r="65" spans="1:3" x14ac:dyDescent="0.2">
      <c r="A65">
        <v>41</v>
      </c>
      <c r="B65">
        <v>11346.330220538448</v>
      </c>
      <c r="C65">
        <v>14146.959779461553</v>
      </c>
    </row>
    <row r="66" spans="1:3" x14ac:dyDescent="0.2">
      <c r="A66">
        <v>42</v>
      </c>
      <c r="B66">
        <v>2026.6460203560018</v>
      </c>
      <c r="C66">
        <v>91510.983979644006</v>
      </c>
    </row>
    <row r="67" spans="1:3" x14ac:dyDescent="0.2">
      <c r="A67">
        <v>43</v>
      </c>
      <c r="B67">
        <v>5848.3870233085163</v>
      </c>
      <c r="C67">
        <v>-102206.01702330852</v>
      </c>
    </row>
    <row r="68" spans="1:3" x14ac:dyDescent="0.2">
      <c r="A68">
        <v>44</v>
      </c>
      <c r="B68">
        <v>-22647.050279407598</v>
      </c>
      <c r="C68">
        <v>1203.0502794075983</v>
      </c>
    </row>
    <row r="69" spans="1:3" x14ac:dyDescent="0.2">
      <c r="A69">
        <v>45</v>
      </c>
      <c r="B69">
        <v>-2834.3403430485123</v>
      </c>
      <c r="C69">
        <v>28772.680343048512</v>
      </c>
    </row>
    <row r="70" spans="1:3" x14ac:dyDescent="0.2">
      <c r="A70">
        <v>46</v>
      </c>
      <c r="B70">
        <v>-8566.9518474772831</v>
      </c>
      <c r="C70">
        <v>-68644.078152522721</v>
      </c>
    </row>
    <row r="71" spans="1:3" x14ac:dyDescent="0.2">
      <c r="A71">
        <v>47</v>
      </c>
      <c r="B71">
        <v>-3739.4895279583179</v>
      </c>
      <c r="C71">
        <v>-20561.140472041683</v>
      </c>
    </row>
    <row r="72" spans="1:3" x14ac:dyDescent="0.2">
      <c r="A72">
        <v>48</v>
      </c>
      <c r="B72">
        <v>-21540.756831184503</v>
      </c>
      <c r="C72">
        <v>54522.116831184503</v>
      </c>
    </row>
    <row r="73" spans="1:3" x14ac:dyDescent="0.2">
      <c r="A73">
        <v>49</v>
      </c>
      <c r="B73">
        <v>17749.422602678187</v>
      </c>
      <c r="C73">
        <v>-37939.352602678191</v>
      </c>
    </row>
    <row r="74" spans="1:3" x14ac:dyDescent="0.2">
      <c r="A74">
        <v>50</v>
      </c>
      <c r="B74">
        <v>11379.854264423999</v>
      </c>
      <c r="C74">
        <v>19569.855735575999</v>
      </c>
    </row>
    <row r="75" spans="1:3" x14ac:dyDescent="0.2">
      <c r="A75">
        <v>51</v>
      </c>
      <c r="B75">
        <v>3937.5165218322591</v>
      </c>
      <c r="C75">
        <v>-11500.59652183226</v>
      </c>
    </row>
    <row r="76" spans="1:3" x14ac:dyDescent="0.2">
      <c r="A76">
        <v>52</v>
      </c>
      <c r="B76">
        <v>8597.3586219234821</v>
      </c>
      <c r="C76">
        <v>-14135.048621923481</v>
      </c>
    </row>
    <row r="77" spans="1:3" x14ac:dyDescent="0.2">
      <c r="A77">
        <v>53</v>
      </c>
      <c r="B77">
        <v>-11617.639841062186</v>
      </c>
      <c r="C77">
        <v>-8887.360158937814</v>
      </c>
    </row>
    <row r="78" spans="1:3" x14ac:dyDescent="0.2">
      <c r="A78">
        <v>54</v>
      </c>
      <c r="B78">
        <v>-6421.4130388021877</v>
      </c>
      <c r="C78">
        <v>-6117.3169611978119</v>
      </c>
    </row>
    <row r="79" spans="1:3" x14ac:dyDescent="0.2">
      <c r="A79">
        <v>55</v>
      </c>
      <c r="B79">
        <v>719.20830881961513</v>
      </c>
      <c r="C79">
        <v>34878.681691180383</v>
      </c>
    </row>
    <row r="80" spans="1:3" x14ac:dyDescent="0.2">
      <c r="A80">
        <v>56</v>
      </c>
      <c r="B80">
        <v>13324.248809785804</v>
      </c>
      <c r="C80">
        <v>-10487.778809785805</v>
      </c>
    </row>
    <row r="81" spans="1:3" x14ac:dyDescent="0.2">
      <c r="A81">
        <v>57</v>
      </c>
      <c r="B81">
        <v>4473.9012240010334</v>
      </c>
      <c r="C81">
        <v>-43042.371224001035</v>
      </c>
    </row>
    <row r="82" spans="1:3" x14ac:dyDescent="0.2">
      <c r="A82">
        <v>58</v>
      </c>
      <c r="B82">
        <v>-2331.4796847652865</v>
      </c>
      <c r="C82">
        <v>-26908.780315234711</v>
      </c>
    </row>
    <row r="83" spans="1:3" x14ac:dyDescent="0.2">
      <c r="A83">
        <v>59</v>
      </c>
      <c r="B83">
        <v>-12388.692850429799</v>
      </c>
      <c r="C83">
        <v>50193.152850429797</v>
      </c>
    </row>
    <row r="84" spans="1:3" ht="17" thickBot="1" x14ac:dyDescent="0.25">
      <c r="A84" s="14">
        <v>60</v>
      </c>
      <c r="B84" s="14">
        <v>2898.2711613802594</v>
      </c>
      <c r="C84" s="14">
        <v>-75630.321161380256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2B85E-33C6-DB41-9463-FEF7F3C3FF2B}">
  <dimension ref="A1:I85"/>
  <sheetViews>
    <sheetView workbookViewId="0">
      <selection activeCell="K19" sqref="K19"/>
    </sheetView>
  </sheetViews>
  <sheetFormatPr baseColWidth="10" defaultRowHeight="16" x14ac:dyDescent="0.2"/>
  <cols>
    <col min="1" max="1" width="17.83203125" bestFit="1" customWidth="1"/>
    <col min="2" max="2" width="12.83203125" bestFit="1" customWidth="1"/>
    <col min="3" max="3" width="13.5" bestFit="1" customWidth="1"/>
    <col min="4" max="4" width="12.83203125" bestFit="1" customWidth="1"/>
    <col min="6" max="6" width="13" bestFit="1" customWidth="1"/>
  </cols>
  <sheetData>
    <row r="1" spans="1:9" x14ac:dyDescent="0.2">
      <c r="A1" t="s">
        <v>3</v>
      </c>
    </row>
    <row r="2" spans="1:9" ht="17" thickBot="1" x14ac:dyDescent="0.25"/>
    <row r="3" spans="1:9" x14ac:dyDescent="0.2">
      <c r="A3" s="16" t="s">
        <v>4</v>
      </c>
      <c r="B3" s="16"/>
    </row>
    <row r="4" spans="1:9" x14ac:dyDescent="0.2">
      <c r="A4" t="s">
        <v>5</v>
      </c>
      <c r="B4">
        <v>0.44664207094716812</v>
      </c>
    </row>
    <row r="5" spans="1:9" x14ac:dyDescent="0.2">
      <c r="A5" t="s">
        <v>6</v>
      </c>
      <c r="B5">
        <v>0.19948913953997519</v>
      </c>
    </row>
    <row r="6" spans="1:9" x14ac:dyDescent="0.2">
      <c r="A6" t="s">
        <v>7</v>
      </c>
      <c r="B6">
        <v>0.17140103917295677</v>
      </c>
    </row>
    <row r="7" spans="1:9" x14ac:dyDescent="0.2">
      <c r="A7" t="s">
        <v>8</v>
      </c>
      <c r="B7">
        <v>33817.650844914373</v>
      </c>
    </row>
    <row r="8" spans="1:9" ht="17" thickBot="1" x14ac:dyDescent="0.25">
      <c r="A8" s="14" t="s">
        <v>9</v>
      </c>
      <c r="B8" s="14">
        <v>60</v>
      </c>
    </row>
    <row r="10" spans="1:9" ht="17" thickBot="1" x14ac:dyDescent="0.25">
      <c r="A10" t="s">
        <v>10</v>
      </c>
    </row>
    <row r="11" spans="1:9" x14ac:dyDescent="0.2">
      <c r="A11" s="15"/>
      <c r="B11" s="15" t="s">
        <v>15</v>
      </c>
      <c r="C11" s="15" t="s">
        <v>16</v>
      </c>
      <c r="D11" s="15" t="s">
        <v>17</v>
      </c>
      <c r="E11" s="15" t="s">
        <v>18</v>
      </c>
      <c r="F11" s="15" t="s">
        <v>19</v>
      </c>
    </row>
    <row r="12" spans="1:9" x14ac:dyDescent="0.2">
      <c r="A12" t="s">
        <v>11</v>
      </c>
      <c r="B12">
        <v>2</v>
      </c>
      <c r="C12">
        <v>16244777084.409637</v>
      </c>
      <c r="D12">
        <v>8122388542.2048187</v>
      </c>
      <c r="E12">
        <v>7.1022652629872818</v>
      </c>
      <c r="F12">
        <v>1.7618381404708942E-3</v>
      </c>
    </row>
    <row r="13" spans="1:9" x14ac:dyDescent="0.2">
      <c r="A13" t="s">
        <v>12</v>
      </c>
      <c r="B13">
        <v>57</v>
      </c>
      <c r="C13">
        <v>65187109994.106644</v>
      </c>
      <c r="D13">
        <v>1143633508.6685376</v>
      </c>
    </row>
    <row r="14" spans="1:9" ht="17" thickBot="1" x14ac:dyDescent="0.25">
      <c r="A14" s="14" t="s">
        <v>13</v>
      </c>
      <c r="B14" s="14">
        <v>59</v>
      </c>
      <c r="C14" s="14">
        <v>81431887078.516281</v>
      </c>
      <c r="D14" s="14"/>
      <c r="E14" s="14"/>
      <c r="F14" s="14"/>
    </row>
    <row r="15" spans="1:9" ht="17" thickBot="1" x14ac:dyDescent="0.25"/>
    <row r="16" spans="1:9" x14ac:dyDescent="0.2">
      <c r="A16" s="15"/>
      <c r="B16" s="15" t="s">
        <v>20</v>
      </c>
      <c r="C16" s="15" t="s">
        <v>8</v>
      </c>
      <c r="D16" s="15" t="s">
        <v>21</v>
      </c>
      <c r="E16" s="15" t="s">
        <v>22</v>
      </c>
      <c r="F16" s="15" t="s">
        <v>23</v>
      </c>
      <c r="G16" s="15" t="s">
        <v>24</v>
      </c>
      <c r="H16" s="15" t="s">
        <v>25</v>
      </c>
      <c r="I16" s="15" t="s">
        <v>26</v>
      </c>
    </row>
    <row r="17" spans="1:9" x14ac:dyDescent="0.2">
      <c r="A17" t="s">
        <v>14</v>
      </c>
      <c r="B17">
        <v>40231.88827664531</v>
      </c>
      <c r="C17">
        <v>16505.696763310778</v>
      </c>
      <c r="D17">
        <v>2.4374547075209589</v>
      </c>
      <c r="E17">
        <v>1.7934118240194162E-2</v>
      </c>
      <c r="F17">
        <v>7179.8006265841132</v>
      </c>
      <c r="G17">
        <v>73283.975926706509</v>
      </c>
      <c r="H17">
        <v>7179.8006265841132</v>
      </c>
      <c r="I17">
        <v>73283.975926706509</v>
      </c>
    </row>
    <row r="18" spans="1:9" x14ac:dyDescent="0.2">
      <c r="A18" t="s">
        <v>30</v>
      </c>
      <c r="B18">
        <v>-2300.3849868187326</v>
      </c>
      <c r="C18">
        <v>868.51005669853066</v>
      </c>
      <c r="D18">
        <v>-2.6486567070543678</v>
      </c>
      <c r="E18">
        <v>1.0436123392113871E-2</v>
      </c>
      <c r="F18">
        <v>-4039.5463764044139</v>
      </c>
      <c r="G18">
        <v>-561.22359723305135</v>
      </c>
      <c r="H18">
        <v>-4039.5463764044139</v>
      </c>
      <c r="I18">
        <v>-561.22359723305135</v>
      </c>
    </row>
    <row r="19" spans="1:9" ht="17" thickBot="1" x14ac:dyDescent="0.25">
      <c r="A19" s="14" t="s">
        <v>35</v>
      </c>
      <c r="B19" s="14">
        <v>347936.98497136659</v>
      </c>
      <c r="C19" s="14">
        <v>125122.85086405916</v>
      </c>
      <c r="D19" s="14">
        <v>2.7807629267445786</v>
      </c>
      <c r="E19" s="14">
        <v>7.3369637671552137E-3</v>
      </c>
      <c r="F19" s="14">
        <v>97382.797948068255</v>
      </c>
      <c r="G19" s="14">
        <v>598491.17199466494</v>
      </c>
      <c r="H19" s="14">
        <v>97382.797948068255</v>
      </c>
      <c r="I19" s="14">
        <v>598491.17199466494</v>
      </c>
    </row>
    <row r="23" spans="1:9" x14ac:dyDescent="0.2">
      <c r="A23" t="s">
        <v>31</v>
      </c>
    </row>
    <row r="24" spans="1:9" ht="17" thickBot="1" x14ac:dyDescent="0.25"/>
    <row r="25" spans="1:9" x14ac:dyDescent="0.2">
      <c r="A25" s="15" t="s">
        <v>32</v>
      </c>
      <c r="B25" s="15" t="s">
        <v>33</v>
      </c>
      <c r="C25" s="15" t="s">
        <v>34</v>
      </c>
    </row>
    <row r="26" spans="1:9" x14ac:dyDescent="0.2">
      <c r="A26">
        <v>1</v>
      </c>
      <c r="B26">
        <v>1283.8242051308666</v>
      </c>
      <c r="C26">
        <v>-10119.724205130866</v>
      </c>
    </row>
    <row r="27" spans="1:9" x14ac:dyDescent="0.2">
      <c r="A27">
        <v>2</v>
      </c>
      <c r="B27">
        <v>250.89425918074454</v>
      </c>
      <c r="C27">
        <v>-2208.6942591807447</v>
      </c>
    </row>
    <row r="28" spans="1:9" x14ac:dyDescent="0.2">
      <c r="A28">
        <v>3</v>
      </c>
      <c r="B28">
        <v>26432.697958443601</v>
      </c>
      <c r="C28">
        <v>-13458.727958443602</v>
      </c>
    </row>
    <row r="29" spans="1:9" x14ac:dyDescent="0.2">
      <c r="A29">
        <v>4</v>
      </c>
      <c r="B29">
        <v>1369.5052833167931</v>
      </c>
      <c r="C29">
        <v>-8779.4952833167936</v>
      </c>
    </row>
    <row r="30" spans="1:9" x14ac:dyDescent="0.2">
      <c r="A30">
        <v>5</v>
      </c>
      <c r="B30">
        <v>3226.1798547981484</v>
      </c>
      <c r="C30">
        <v>13329.770145201852</v>
      </c>
    </row>
    <row r="31" spans="1:9" x14ac:dyDescent="0.2">
      <c r="A31">
        <v>6</v>
      </c>
      <c r="B31">
        <v>17236.703675671593</v>
      </c>
      <c r="C31">
        <v>10519.006324328406</v>
      </c>
    </row>
    <row r="32" spans="1:9" x14ac:dyDescent="0.2">
      <c r="A32">
        <v>7</v>
      </c>
      <c r="B32">
        <v>12709.038764159526</v>
      </c>
      <c r="C32">
        <v>-25145.958764159528</v>
      </c>
    </row>
    <row r="33" spans="1:3" x14ac:dyDescent="0.2">
      <c r="A33">
        <v>8</v>
      </c>
      <c r="B33">
        <v>-21271.768560041932</v>
      </c>
      <c r="C33">
        <v>18751.008560041933</v>
      </c>
    </row>
    <row r="34" spans="1:3" x14ac:dyDescent="0.2">
      <c r="A34">
        <v>9</v>
      </c>
      <c r="B34">
        <v>-12950.28361025656</v>
      </c>
      <c r="C34">
        <v>-16751.906389743439</v>
      </c>
    </row>
    <row r="35" spans="1:3" x14ac:dyDescent="0.2">
      <c r="A35">
        <v>10</v>
      </c>
      <c r="B35">
        <v>-9393.6600731607796</v>
      </c>
      <c r="C35">
        <v>-19132.63992683922</v>
      </c>
    </row>
    <row r="36" spans="1:3" x14ac:dyDescent="0.2">
      <c r="A36">
        <v>11</v>
      </c>
      <c r="B36">
        <v>-29403.068663916569</v>
      </c>
      <c r="C36">
        <v>-8664.951336083428</v>
      </c>
    </row>
    <row r="37" spans="1:3" x14ac:dyDescent="0.2">
      <c r="A37">
        <v>12</v>
      </c>
      <c r="B37">
        <v>-18024.042078945877</v>
      </c>
      <c r="C37">
        <v>-32043.537921054125</v>
      </c>
    </row>
    <row r="38" spans="1:3" x14ac:dyDescent="0.2">
      <c r="A38">
        <v>13</v>
      </c>
      <c r="B38">
        <v>-22718.284582742832</v>
      </c>
      <c r="C38">
        <v>29.914582742832863</v>
      </c>
    </row>
    <row r="39" spans="1:3" x14ac:dyDescent="0.2">
      <c r="A39">
        <v>14</v>
      </c>
      <c r="B39">
        <v>-27217.490117044588</v>
      </c>
      <c r="C39">
        <v>-9300.3698829554123</v>
      </c>
    </row>
    <row r="40" spans="1:3" x14ac:dyDescent="0.2">
      <c r="A40">
        <v>15</v>
      </c>
      <c r="B40">
        <v>-36354.655339552912</v>
      </c>
      <c r="C40">
        <v>-15067.374660447087</v>
      </c>
    </row>
    <row r="41" spans="1:3" x14ac:dyDescent="0.2">
      <c r="A41">
        <v>16</v>
      </c>
      <c r="B41">
        <v>-25710.267263309532</v>
      </c>
      <c r="C41">
        <v>27681.59726330953</v>
      </c>
    </row>
    <row r="42" spans="1:3" x14ac:dyDescent="0.2">
      <c r="A42">
        <v>17</v>
      </c>
      <c r="B42">
        <v>11095.827455644998</v>
      </c>
      <c r="C42">
        <v>45425.272544355001</v>
      </c>
    </row>
    <row r="43" spans="1:3" x14ac:dyDescent="0.2">
      <c r="A43">
        <v>18</v>
      </c>
      <c r="B43">
        <v>-20328.490532565189</v>
      </c>
      <c r="C43">
        <v>16373.180532565189</v>
      </c>
    </row>
    <row r="44" spans="1:3" x14ac:dyDescent="0.2">
      <c r="A44">
        <v>19</v>
      </c>
      <c r="B44">
        <v>-32314.9184201526</v>
      </c>
      <c r="C44">
        <v>29234.798420152601</v>
      </c>
    </row>
    <row r="45" spans="1:3" x14ac:dyDescent="0.2">
      <c r="A45">
        <v>20</v>
      </c>
      <c r="B45">
        <v>11597.185190746364</v>
      </c>
      <c r="C45">
        <v>22250.074809253638</v>
      </c>
    </row>
    <row r="46" spans="1:3" x14ac:dyDescent="0.2">
      <c r="A46">
        <v>21</v>
      </c>
      <c r="B46">
        <v>4787.1367900979458</v>
      </c>
      <c r="C46">
        <v>4383.5432099020545</v>
      </c>
    </row>
    <row r="47" spans="1:3" x14ac:dyDescent="0.2">
      <c r="A47">
        <v>22</v>
      </c>
      <c r="B47">
        <v>-14203.402557822923</v>
      </c>
      <c r="C47">
        <v>-12340.347442177077</v>
      </c>
    </row>
    <row r="48" spans="1:3" x14ac:dyDescent="0.2">
      <c r="A48">
        <v>23</v>
      </c>
      <c r="B48">
        <v>-15910.537082300936</v>
      </c>
      <c r="C48">
        <v>11771.417082300937</v>
      </c>
    </row>
    <row r="49" spans="1:3" x14ac:dyDescent="0.2">
      <c r="A49">
        <v>24</v>
      </c>
      <c r="B49">
        <v>-7760.8098619555303</v>
      </c>
      <c r="C49">
        <v>13660.01986195553</v>
      </c>
    </row>
    <row r="50" spans="1:3" x14ac:dyDescent="0.2">
      <c r="A50">
        <v>25</v>
      </c>
      <c r="B50">
        <v>2922.7959282287479</v>
      </c>
      <c r="C50">
        <v>10621.994071771252</v>
      </c>
    </row>
    <row r="51" spans="1:3" x14ac:dyDescent="0.2">
      <c r="A51">
        <v>26</v>
      </c>
      <c r="B51">
        <v>13089.223202954727</v>
      </c>
      <c r="C51">
        <v>35240.326797045273</v>
      </c>
    </row>
    <row r="52" spans="1:3" x14ac:dyDescent="0.2">
      <c r="A52">
        <v>27</v>
      </c>
      <c r="B52">
        <v>18016.017915034263</v>
      </c>
      <c r="C52">
        <v>38241.682084965738</v>
      </c>
    </row>
    <row r="53" spans="1:3" x14ac:dyDescent="0.2">
      <c r="A53">
        <v>28</v>
      </c>
      <c r="B53">
        <v>21849.931971840844</v>
      </c>
      <c r="C53">
        <v>26127.148028159158</v>
      </c>
    </row>
    <row r="54" spans="1:3" x14ac:dyDescent="0.2">
      <c r="A54">
        <v>29</v>
      </c>
      <c r="B54">
        <v>19245.011363673286</v>
      </c>
      <c r="C54">
        <v>-907.19136367328611</v>
      </c>
    </row>
    <row r="55" spans="1:3" x14ac:dyDescent="0.2">
      <c r="A55">
        <v>30</v>
      </c>
      <c r="B55">
        <v>-8873.6624121944587</v>
      </c>
      <c r="C55">
        <v>-4936.7275878055407</v>
      </c>
    </row>
    <row r="56" spans="1:3" x14ac:dyDescent="0.2">
      <c r="A56">
        <v>31</v>
      </c>
      <c r="B56">
        <v>5461.6443151808307</v>
      </c>
      <c r="C56">
        <v>-23337.10431518083</v>
      </c>
    </row>
    <row r="57" spans="1:3" x14ac:dyDescent="0.2">
      <c r="A57">
        <v>32</v>
      </c>
      <c r="B57">
        <v>629.50387376047274</v>
      </c>
      <c r="C57">
        <v>23916.906126239526</v>
      </c>
    </row>
    <row r="58" spans="1:3" x14ac:dyDescent="0.2">
      <c r="A58">
        <v>33</v>
      </c>
      <c r="B58">
        <v>30798.216761171527</v>
      </c>
      <c r="C58">
        <v>53739.213238828466</v>
      </c>
    </row>
    <row r="59" spans="1:3" x14ac:dyDescent="0.2">
      <c r="A59">
        <v>34</v>
      </c>
      <c r="B59">
        <v>34847.560322523008</v>
      </c>
      <c r="C59">
        <v>-41440.900322523012</v>
      </c>
    </row>
    <row r="60" spans="1:3" x14ac:dyDescent="0.2">
      <c r="A60">
        <v>35</v>
      </c>
      <c r="B60">
        <v>9302.3483577828829</v>
      </c>
      <c r="C60">
        <v>22514.481642217121</v>
      </c>
    </row>
    <row r="61" spans="1:3" x14ac:dyDescent="0.2">
      <c r="A61">
        <v>36</v>
      </c>
      <c r="B61">
        <v>14409.536020795724</v>
      </c>
      <c r="C61">
        <v>37586.66397920427</v>
      </c>
    </row>
    <row r="62" spans="1:3" x14ac:dyDescent="0.2">
      <c r="A62">
        <v>37</v>
      </c>
      <c r="B62">
        <v>9693.4738969825994</v>
      </c>
      <c r="C62">
        <v>-25953.4938969826</v>
      </c>
    </row>
    <row r="63" spans="1:3" x14ac:dyDescent="0.2">
      <c r="A63">
        <v>38</v>
      </c>
      <c r="B63">
        <v>14825.332860592231</v>
      </c>
      <c r="C63">
        <v>-27736.192860592229</v>
      </c>
    </row>
    <row r="64" spans="1:3" x14ac:dyDescent="0.2">
      <c r="A64">
        <v>39</v>
      </c>
      <c r="B64">
        <v>10466.906990214766</v>
      </c>
      <c r="C64">
        <v>31290.533009785235</v>
      </c>
    </row>
    <row r="65" spans="1:3" x14ac:dyDescent="0.2">
      <c r="A65">
        <v>40</v>
      </c>
      <c r="B65">
        <v>25457.049804909628</v>
      </c>
      <c r="C65">
        <v>23338.990195090373</v>
      </c>
    </row>
    <row r="66" spans="1:3" x14ac:dyDescent="0.2">
      <c r="A66">
        <v>41</v>
      </c>
      <c r="B66">
        <v>19365.24328524189</v>
      </c>
      <c r="C66">
        <v>6128.0467147581112</v>
      </c>
    </row>
    <row r="67" spans="1:3" x14ac:dyDescent="0.2">
      <c r="A67">
        <v>42</v>
      </c>
      <c r="B67">
        <v>4585.7404323003157</v>
      </c>
      <c r="C67">
        <v>88951.889567699691</v>
      </c>
    </row>
    <row r="68" spans="1:3" x14ac:dyDescent="0.2">
      <c r="A68">
        <v>43</v>
      </c>
      <c r="B68">
        <v>6435.8678731006576</v>
      </c>
      <c r="C68">
        <v>-102793.49787310066</v>
      </c>
    </row>
    <row r="69" spans="1:3" x14ac:dyDescent="0.2">
      <c r="A69">
        <v>44</v>
      </c>
      <c r="B69">
        <v>-11406.812416689963</v>
      </c>
      <c r="C69">
        <v>-10037.187583310037</v>
      </c>
    </row>
    <row r="70" spans="1:3" x14ac:dyDescent="0.2">
      <c r="A70">
        <v>45</v>
      </c>
      <c r="B70">
        <v>10513.490537340855</v>
      </c>
      <c r="C70">
        <v>15424.849462659146</v>
      </c>
    </row>
    <row r="71" spans="1:3" x14ac:dyDescent="0.2">
      <c r="A71">
        <v>46</v>
      </c>
      <c r="B71">
        <v>-428.06732706616407</v>
      </c>
      <c r="C71">
        <v>-76782.962672933834</v>
      </c>
    </row>
    <row r="72" spans="1:3" x14ac:dyDescent="0.2">
      <c r="A72">
        <v>47</v>
      </c>
      <c r="B72">
        <v>7388.6949404403667</v>
      </c>
      <c r="C72">
        <v>-31689.324940440369</v>
      </c>
    </row>
    <row r="73" spans="1:3" x14ac:dyDescent="0.2">
      <c r="A73">
        <v>48</v>
      </c>
      <c r="B73">
        <v>-14882.394189790111</v>
      </c>
      <c r="C73">
        <v>47863.75418979011</v>
      </c>
    </row>
    <row r="74" spans="1:3" x14ac:dyDescent="0.2">
      <c r="A74">
        <v>49</v>
      </c>
      <c r="B74">
        <v>16280.211203951752</v>
      </c>
      <c r="C74">
        <v>-36470.141203951753</v>
      </c>
    </row>
    <row r="75" spans="1:3" x14ac:dyDescent="0.2">
      <c r="A75">
        <v>50</v>
      </c>
      <c r="B75">
        <v>14845.274709837937</v>
      </c>
      <c r="C75">
        <v>16104.435290162062</v>
      </c>
    </row>
    <row r="76" spans="1:3" x14ac:dyDescent="0.2">
      <c r="A76">
        <v>51</v>
      </c>
      <c r="B76">
        <v>11146.74737040638</v>
      </c>
      <c r="C76">
        <v>-18709.827370406379</v>
      </c>
    </row>
    <row r="77" spans="1:3" x14ac:dyDescent="0.2">
      <c r="A77">
        <v>52</v>
      </c>
      <c r="B77">
        <v>18536.498796877171</v>
      </c>
      <c r="C77">
        <v>-24074.18879687717</v>
      </c>
    </row>
    <row r="78" spans="1:3" x14ac:dyDescent="0.2">
      <c r="A78">
        <v>53</v>
      </c>
      <c r="B78">
        <v>-6469.7751238290157</v>
      </c>
      <c r="C78">
        <v>-14035.224876170985</v>
      </c>
    </row>
    <row r="79" spans="1:3" x14ac:dyDescent="0.2">
      <c r="A79">
        <v>54</v>
      </c>
      <c r="B79">
        <v>-5769.5372298830507</v>
      </c>
      <c r="C79">
        <v>-6769.1927701169489</v>
      </c>
    </row>
    <row r="80" spans="1:3" x14ac:dyDescent="0.2">
      <c r="A80">
        <v>55</v>
      </c>
      <c r="B80">
        <v>-290.80283892067757</v>
      </c>
      <c r="C80">
        <v>35888.692838920681</v>
      </c>
    </row>
    <row r="81" spans="1:3" x14ac:dyDescent="0.2">
      <c r="A81">
        <v>56</v>
      </c>
      <c r="B81">
        <v>20888.982949604644</v>
      </c>
      <c r="C81">
        <v>-18052.512949604643</v>
      </c>
    </row>
    <row r="82" spans="1:3" x14ac:dyDescent="0.2">
      <c r="A82">
        <v>57</v>
      </c>
      <c r="B82">
        <v>12347.554342669815</v>
      </c>
      <c r="C82">
        <v>-50916.024342669814</v>
      </c>
    </row>
    <row r="83" spans="1:3" x14ac:dyDescent="0.2">
      <c r="A83">
        <v>58</v>
      </c>
      <c r="B83">
        <v>-2697.9023565099355</v>
      </c>
      <c r="C83">
        <v>-26542.357643490064</v>
      </c>
    </row>
    <row r="84" spans="1:3" x14ac:dyDescent="0.2">
      <c r="A84">
        <v>59</v>
      </c>
      <c r="B84">
        <v>-13619.092752882862</v>
      </c>
      <c r="C84">
        <v>51423.552752882861</v>
      </c>
    </row>
    <row r="85" spans="1:3" ht="17" thickBot="1" x14ac:dyDescent="0.25">
      <c r="A85" s="14">
        <v>60</v>
      </c>
      <c r="B85" s="14">
        <v>-9117.0680730730855</v>
      </c>
      <c r="C85" s="14">
        <v>-63614.981926926921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C9922-B123-1C43-991A-335802742C10}">
  <dimension ref="A1:I86"/>
  <sheetViews>
    <sheetView workbookViewId="0">
      <selection activeCell="M21" sqref="M21"/>
    </sheetView>
  </sheetViews>
  <sheetFormatPr baseColWidth="10" defaultRowHeight="16" x14ac:dyDescent="0.2"/>
  <cols>
    <col min="1" max="1" width="17.83203125" bestFit="1" customWidth="1"/>
    <col min="2" max="2" width="10.5" customWidth="1"/>
    <col min="3" max="3" width="13.5" bestFit="1" customWidth="1"/>
    <col min="4" max="4" width="12.83203125" bestFit="1" customWidth="1"/>
  </cols>
  <sheetData>
    <row r="1" spans="1:9" x14ac:dyDescent="0.2">
      <c r="A1" t="s">
        <v>3</v>
      </c>
    </row>
    <row r="2" spans="1:9" ht="17" thickBot="1" x14ac:dyDescent="0.25"/>
    <row r="3" spans="1:9" x14ac:dyDescent="0.2">
      <c r="A3" s="16" t="s">
        <v>4</v>
      </c>
      <c r="B3" s="16"/>
    </row>
    <row r="4" spans="1:9" x14ac:dyDescent="0.2">
      <c r="A4" t="s">
        <v>5</v>
      </c>
      <c r="B4">
        <v>0.47293283000411113</v>
      </c>
    </row>
    <row r="5" spans="1:9" x14ac:dyDescent="0.2">
      <c r="A5" t="s">
        <v>6</v>
      </c>
      <c r="B5">
        <v>0.22366546169569745</v>
      </c>
    </row>
    <row r="6" spans="1:9" x14ac:dyDescent="0.2">
      <c r="A6" t="s">
        <v>7</v>
      </c>
      <c r="B6">
        <v>0.18207611142939553</v>
      </c>
    </row>
    <row r="7" spans="1:9" x14ac:dyDescent="0.2">
      <c r="A7" t="s">
        <v>8</v>
      </c>
      <c r="B7">
        <v>33599.103532457324</v>
      </c>
    </row>
    <row r="8" spans="1:9" ht="17" thickBot="1" x14ac:dyDescent="0.25">
      <c r="A8" s="14" t="s">
        <v>9</v>
      </c>
      <c r="B8" s="14">
        <v>60</v>
      </c>
    </row>
    <row r="10" spans="1:9" ht="17" thickBot="1" x14ac:dyDescent="0.25">
      <c r="A10" t="s">
        <v>10</v>
      </c>
    </row>
    <row r="11" spans="1:9" x14ac:dyDescent="0.2">
      <c r="A11" s="15"/>
      <c r="B11" s="15" t="s">
        <v>15</v>
      </c>
      <c r="C11" s="15" t="s">
        <v>16</v>
      </c>
      <c r="D11" s="15" t="s">
        <v>17</v>
      </c>
      <c r="E11" s="15" t="s">
        <v>18</v>
      </c>
      <c r="F11" s="15" t="s">
        <v>19</v>
      </c>
    </row>
    <row r="12" spans="1:9" x14ac:dyDescent="0.2">
      <c r="A12" t="s">
        <v>11</v>
      </c>
      <c r="B12">
        <v>3</v>
      </c>
      <c r="C12">
        <v>18213500620.168243</v>
      </c>
      <c r="D12">
        <v>6071166873.3894148</v>
      </c>
      <c r="E12">
        <v>5.3779503710334247</v>
      </c>
      <c r="F12">
        <v>2.5232656951830229E-3</v>
      </c>
    </row>
    <row r="13" spans="1:9" x14ac:dyDescent="0.2">
      <c r="A13" t="s">
        <v>12</v>
      </c>
      <c r="B13">
        <v>56</v>
      </c>
      <c r="C13">
        <v>63218386458.348038</v>
      </c>
      <c r="D13">
        <v>1128899758.1847863</v>
      </c>
    </row>
    <row r="14" spans="1:9" ht="17" thickBot="1" x14ac:dyDescent="0.25">
      <c r="A14" s="14" t="s">
        <v>13</v>
      </c>
      <c r="B14" s="14">
        <v>59</v>
      </c>
      <c r="C14" s="14">
        <v>81431887078.516281</v>
      </c>
      <c r="D14" s="14"/>
      <c r="E14" s="14"/>
      <c r="F14" s="14"/>
    </row>
    <row r="15" spans="1:9" ht="17" thickBot="1" x14ac:dyDescent="0.25"/>
    <row r="16" spans="1:9" x14ac:dyDescent="0.2">
      <c r="A16" s="15"/>
      <c r="B16" s="15" t="s">
        <v>20</v>
      </c>
      <c r="C16" s="15" t="s">
        <v>8</v>
      </c>
      <c r="D16" s="15" t="s">
        <v>21</v>
      </c>
      <c r="E16" s="15" t="s">
        <v>22</v>
      </c>
      <c r="F16" s="15" t="s">
        <v>23</v>
      </c>
      <c r="G16" s="15" t="s">
        <v>24</v>
      </c>
      <c r="H16" s="15" t="s">
        <v>25</v>
      </c>
      <c r="I16" s="15" t="s">
        <v>26</v>
      </c>
    </row>
    <row r="17" spans="1:9" x14ac:dyDescent="0.2">
      <c r="A17" t="s">
        <v>14</v>
      </c>
      <c r="B17">
        <v>44626.239498893512</v>
      </c>
      <c r="C17">
        <v>16733.230403129022</v>
      </c>
      <c r="D17">
        <v>2.6669231477592428</v>
      </c>
      <c r="E17">
        <v>9.9891889365258425E-3</v>
      </c>
      <c r="F17">
        <v>11105.550997482251</v>
      </c>
      <c r="G17">
        <v>78146.928000304775</v>
      </c>
      <c r="H17">
        <v>11105.550997482251</v>
      </c>
      <c r="I17">
        <v>78146.928000304775</v>
      </c>
    </row>
    <row r="18" spans="1:9" x14ac:dyDescent="0.2">
      <c r="A18" t="s">
        <v>30</v>
      </c>
      <c r="B18">
        <v>-0.19723803140288196</v>
      </c>
      <c r="C18">
        <v>0.14935713787461807</v>
      </c>
      <c r="D18">
        <v>-1.3205798812806577</v>
      </c>
      <c r="E18">
        <v>0.19201322548229588</v>
      </c>
      <c r="F18">
        <v>-0.49643633164389273</v>
      </c>
      <c r="G18">
        <v>0.10196026883812878</v>
      </c>
      <c r="H18">
        <v>-0.49643633164389273</v>
      </c>
      <c r="I18">
        <v>0.10196026883812878</v>
      </c>
    </row>
    <row r="19" spans="1:9" x14ac:dyDescent="0.2">
      <c r="A19" t="s">
        <v>35</v>
      </c>
      <c r="B19">
        <v>-2568.2944382884766</v>
      </c>
      <c r="C19">
        <v>886.4248531745053</v>
      </c>
      <c r="D19">
        <v>-2.8973628493050287</v>
      </c>
      <c r="E19">
        <v>5.3612790332496826E-3</v>
      </c>
      <c r="F19">
        <v>-4344.0167983663923</v>
      </c>
      <c r="G19">
        <v>-792.57207821056056</v>
      </c>
      <c r="H19">
        <v>-4344.0167983663923</v>
      </c>
      <c r="I19">
        <v>-792.57207821056056</v>
      </c>
    </row>
    <row r="20" spans="1:9" ht="17" thickBot="1" x14ac:dyDescent="0.25">
      <c r="A20" s="14" t="s">
        <v>38</v>
      </c>
      <c r="B20" s="14">
        <v>459057.97240899625</v>
      </c>
      <c r="C20" s="14">
        <v>150114.99861987977</v>
      </c>
      <c r="D20" s="14">
        <v>3.0580420119872223</v>
      </c>
      <c r="E20" s="14">
        <v>3.4132759508501459E-3</v>
      </c>
      <c r="F20" s="14">
        <v>158341.49466386088</v>
      </c>
      <c r="G20" s="14">
        <v>759774.45015413163</v>
      </c>
      <c r="H20" s="14">
        <v>158341.49466386088</v>
      </c>
      <c r="I20" s="14">
        <v>759774.45015413163</v>
      </c>
    </row>
    <row r="24" spans="1:9" x14ac:dyDescent="0.2">
      <c r="A24" t="s">
        <v>31</v>
      </c>
    </row>
    <row r="25" spans="1:9" ht="17" thickBot="1" x14ac:dyDescent="0.25"/>
    <row r="26" spans="1:9" x14ac:dyDescent="0.2">
      <c r="A26" s="15" t="s">
        <v>32</v>
      </c>
      <c r="B26" s="15" t="s">
        <v>33</v>
      </c>
      <c r="C26" s="15" t="s">
        <v>34</v>
      </c>
    </row>
    <row r="27" spans="1:9" x14ac:dyDescent="0.2">
      <c r="A27">
        <v>1</v>
      </c>
      <c r="B27">
        <v>-1431.6885067951353</v>
      </c>
      <c r="C27">
        <v>-7404.2114932048644</v>
      </c>
    </row>
    <row r="28" spans="1:9" x14ac:dyDescent="0.2">
      <c r="A28">
        <v>2</v>
      </c>
      <c r="B28">
        <v>1442.2625479744788</v>
      </c>
      <c r="C28">
        <v>-3400.0625479744785</v>
      </c>
    </row>
    <row r="29" spans="1:9" x14ac:dyDescent="0.2">
      <c r="A29">
        <v>3</v>
      </c>
      <c r="B29">
        <v>34195.059365252251</v>
      </c>
      <c r="C29">
        <v>-21221.08936525225</v>
      </c>
    </row>
    <row r="30" spans="1:9" x14ac:dyDescent="0.2">
      <c r="A30">
        <v>4</v>
      </c>
      <c r="B30">
        <v>-692.79540332828174</v>
      </c>
      <c r="C30">
        <v>-6717.1945966717176</v>
      </c>
    </row>
    <row r="31" spans="1:9" x14ac:dyDescent="0.2">
      <c r="A31">
        <v>5</v>
      </c>
      <c r="B31">
        <v>4955.8297244778441</v>
      </c>
      <c r="C31">
        <v>11600.120275522157</v>
      </c>
    </row>
    <row r="32" spans="1:9" x14ac:dyDescent="0.2">
      <c r="A32">
        <v>6</v>
      </c>
      <c r="B32">
        <v>21822.581013235394</v>
      </c>
      <c r="C32">
        <v>5933.1289867646046</v>
      </c>
    </row>
    <row r="33" spans="1:3" x14ac:dyDescent="0.2">
      <c r="A33">
        <v>7</v>
      </c>
      <c r="B33">
        <v>10428.536748149087</v>
      </c>
      <c r="C33">
        <v>-22865.456748149089</v>
      </c>
    </row>
    <row r="34" spans="1:3" x14ac:dyDescent="0.2">
      <c r="A34">
        <v>8</v>
      </c>
      <c r="B34">
        <v>-21375.478743428052</v>
      </c>
      <c r="C34">
        <v>18854.718743428049</v>
      </c>
    </row>
    <row r="35" spans="1:3" x14ac:dyDescent="0.2">
      <c r="A35">
        <v>9</v>
      </c>
      <c r="B35">
        <v>-17005.861912345776</v>
      </c>
      <c r="C35">
        <v>-12696.328087654223</v>
      </c>
    </row>
    <row r="36" spans="1:3" x14ac:dyDescent="0.2">
      <c r="A36">
        <v>10</v>
      </c>
      <c r="B36">
        <v>-3381.3778988704184</v>
      </c>
      <c r="C36">
        <v>-25144.922101129581</v>
      </c>
    </row>
    <row r="37" spans="1:3" x14ac:dyDescent="0.2">
      <c r="A37">
        <v>11</v>
      </c>
      <c r="B37">
        <v>-27548.612938223221</v>
      </c>
      <c r="C37">
        <v>-10519.407061776776</v>
      </c>
    </row>
    <row r="38" spans="1:3" x14ac:dyDescent="0.2">
      <c r="A38">
        <v>12</v>
      </c>
      <c r="B38">
        <v>-15129.758958995411</v>
      </c>
      <c r="C38">
        <v>-34937.821041004587</v>
      </c>
    </row>
    <row r="39" spans="1:3" x14ac:dyDescent="0.2">
      <c r="A39">
        <v>13</v>
      </c>
      <c r="B39">
        <v>-12963.15072451635</v>
      </c>
      <c r="C39">
        <v>-9725.2192754836487</v>
      </c>
    </row>
    <row r="40" spans="1:3" x14ac:dyDescent="0.2">
      <c r="A40">
        <v>14</v>
      </c>
      <c r="B40">
        <v>-27664.882434207713</v>
      </c>
      <c r="C40">
        <v>-8852.9775657922874</v>
      </c>
    </row>
    <row r="41" spans="1:3" x14ac:dyDescent="0.2">
      <c r="A41">
        <v>15</v>
      </c>
      <c r="B41">
        <v>-35816.239570915197</v>
      </c>
      <c r="C41">
        <v>-15605.790429084802</v>
      </c>
    </row>
    <row r="42" spans="1:3" x14ac:dyDescent="0.2">
      <c r="A42">
        <v>16</v>
      </c>
      <c r="B42">
        <v>-22277.412563696071</v>
      </c>
      <c r="C42">
        <v>24248.742563696069</v>
      </c>
    </row>
    <row r="43" spans="1:3" x14ac:dyDescent="0.2">
      <c r="A43">
        <v>17</v>
      </c>
      <c r="B43">
        <v>17871.402123230553</v>
      </c>
      <c r="C43">
        <v>38649.697876769445</v>
      </c>
    </row>
    <row r="44" spans="1:3" x14ac:dyDescent="0.2">
      <c r="A44">
        <v>18</v>
      </c>
      <c r="B44">
        <v>-31664.312102198677</v>
      </c>
      <c r="C44">
        <v>27709.002102198676</v>
      </c>
    </row>
    <row r="45" spans="1:3" x14ac:dyDescent="0.2">
      <c r="A45">
        <v>19</v>
      </c>
      <c r="B45">
        <v>-38229.851174120588</v>
      </c>
      <c r="C45">
        <v>35149.731174120585</v>
      </c>
    </row>
    <row r="46" spans="1:3" x14ac:dyDescent="0.2">
      <c r="A46">
        <v>20</v>
      </c>
      <c r="B46">
        <v>17055.352826947288</v>
      </c>
      <c r="C46">
        <v>16791.907173052714</v>
      </c>
    </row>
    <row r="47" spans="1:3" x14ac:dyDescent="0.2">
      <c r="A47">
        <v>21</v>
      </c>
      <c r="B47">
        <v>1300.3321481331498</v>
      </c>
      <c r="C47">
        <v>7870.3478518668508</v>
      </c>
    </row>
    <row r="48" spans="1:3" x14ac:dyDescent="0.2">
      <c r="A48">
        <v>22</v>
      </c>
      <c r="B48">
        <v>-20414.402475273306</v>
      </c>
      <c r="C48">
        <v>-6129.3475247266942</v>
      </c>
    </row>
    <row r="49" spans="1:3" x14ac:dyDescent="0.2">
      <c r="A49">
        <v>23</v>
      </c>
      <c r="B49">
        <v>-14548.938701648116</v>
      </c>
      <c r="C49">
        <v>10409.818701648117</v>
      </c>
    </row>
    <row r="50" spans="1:3" x14ac:dyDescent="0.2">
      <c r="A50">
        <v>24</v>
      </c>
      <c r="B50">
        <v>-9149.0036220093516</v>
      </c>
      <c r="C50">
        <v>15048.213622009353</v>
      </c>
    </row>
    <row r="51" spans="1:3" x14ac:dyDescent="0.2">
      <c r="A51">
        <v>25</v>
      </c>
      <c r="B51">
        <v>1603.736575483068</v>
      </c>
      <c r="C51">
        <v>11941.053424516933</v>
      </c>
    </row>
    <row r="52" spans="1:3" x14ac:dyDescent="0.2">
      <c r="A52">
        <v>26</v>
      </c>
      <c r="B52">
        <v>14517.243240438042</v>
      </c>
      <c r="C52">
        <v>33812.306759561965</v>
      </c>
    </row>
    <row r="53" spans="1:3" x14ac:dyDescent="0.2">
      <c r="A53">
        <v>27</v>
      </c>
      <c r="B53">
        <v>12126.20006459986</v>
      </c>
      <c r="C53">
        <v>44131.499935400134</v>
      </c>
    </row>
    <row r="54" spans="1:3" x14ac:dyDescent="0.2">
      <c r="A54">
        <v>28</v>
      </c>
      <c r="B54">
        <v>15499.463063291774</v>
      </c>
      <c r="C54">
        <v>32477.616936708226</v>
      </c>
    </row>
    <row r="55" spans="1:3" x14ac:dyDescent="0.2">
      <c r="A55">
        <v>29</v>
      </c>
      <c r="B55">
        <v>13807.88354848479</v>
      </c>
      <c r="C55">
        <v>4529.9364515152101</v>
      </c>
    </row>
    <row r="56" spans="1:3" x14ac:dyDescent="0.2">
      <c r="A56">
        <v>30</v>
      </c>
      <c r="B56">
        <v>-15601.361278888598</v>
      </c>
      <c r="C56">
        <v>1790.971278888599</v>
      </c>
    </row>
    <row r="57" spans="1:3" x14ac:dyDescent="0.2">
      <c r="A57">
        <v>31</v>
      </c>
      <c r="B57">
        <v>9942.4719730265169</v>
      </c>
      <c r="C57">
        <v>-27817.931973026516</v>
      </c>
    </row>
    <row r="58" spans="1:3" x14ac:dyDescent="0.2">
      <c r="A58">
        <v>32</v>
      </c>
      <c r="B58">
        <v>1932.3494806118624</v>
      </c>
      <c r="C58">
        <v>22614.060519388138</v>
      </c>
    </row>
    <row r="59" spans="1:3" x14ac:dyDescent="0.2">
      <c r="A59">
        <v>33</v>
      </c>
      <c r="B59">
        <v>33149.488232770556</v>
      </c>
      <c r="C59">
        <v>51387.941767229437</v>
      </c>
    </row>
    <row r="60" spans="1:3" x14ac:dyDescent="0.2">
      <c r="A60">
        <v>34</v>
      </c>
      <c r="B60">
        <v>27546.421045669242</v>
      </c>
      <c r="C60">
        <v>-34139.761045669242</v>
      </c>
    </row>
    <row r="61" spans="1:3" x14ac:dyDescent="0.2">
      <c r="A61">
        <v>35</v>
      </c>
      <c r="B61">
        <v>11373.834036075103</v>
      </c>
      <c r="C61">
        <v>20442.995963924899</v>
      </c>
    </row>
    <row r="62" spans="1:3" x14ac:dyDescent="0.2">
      <c r="A62">
        <v>36</v>
      </c>
      <c r="B62">
        <v>10354.12401650643</v>
      </c>
      <c r="C62">
        <v>41642.075983493567</v>
      </c>
    </row>
    <row r="63" spans="1:3" x14ac:dyDescent="0.2">
      <c r="A63">
        <v>37</v>
      </c>
      <c r="B63">
        <v>1384.0135780695634</v>
      </c>
      <c r="C63">
        <v>-17644.033578069564</v>
      </c>
    </row>
    <row r="64" spans="1:3" x14ac:dyDescent="0.2">
      <c r="A64">
        <v>38</v>
      </c>
      <c r="B64">
        <v>20343.288549449437</v>
      </c>
      <c r="C64">
        <v>-33254.148549449441</v>
      </c>
    </row>
    <row r="65" spans="1:3" x14ac:dyDescent="0.2">
      <c r="A65">
        <v>39</v>
      </c>
      <c r="B65">
        <v>13708.277987753387</v>
      </c>
      <c r="C65">
        <v>28049.162012246616</v>
      </c>
    </row>
    <row r="66" spans="1:3" x14ac:dyDescent="0.2">
      <c r="A66">
        <v>40</v>
      </c>
      <c r="B66">
        <v>24532.896013741127</v>
      </c>
      <c r="C66">
        <v>24263.143986258874</v>
      </c>
    </row>
    <row r="67" spans="1:3" x14ac:dyDescent="0.2">
      <c r="A67">
        <v>41</v>
      </c>
      <c r="B67">
        <v>14472.460573142733</v>
      </c>
      <c r="C67">
        <v>11020.829426857268</v>
      </c>
    </row>
    <row r="68" spans="1:3" x14ac:dyDescent="0.2">
      <c r="A68">
        <v>42</v>
      </c>
      <c r="B68">
        <v>605.22382344572691</v>
      </c>
      <c r="C68">
        <v>92932.406176554272</v>
      </c>
    </row>
    <row r="69" spans="1:3" x14ac:dyDescent="0.2">
      <c r="A69">
        <v>43</v>
      </c>
      <c r="B69">
        <v>-9945.2778440254951</v>
      </c>
      <c r="C69">
        <v>-86412.352155974513</v>
      </c>
    </row>
    <row r="70" spans="1:3" x14ac:dyDescent="0.2">
      <c r="A70">
        <v>44</v>
      </c>
      <c r="B70">
        <v>1587.6633916194901</v>
      </c>
      <c r="C70">
        <v>-23031.663391619491</v>
      </c>
    </row>
    <row r="71" spans="1:3" x14ac:dyDescent="0.2">
      <c r="A71">
        <v>45</v>
      </c>
      <c r="B71">
        <v>15457.466373137491</v>
      </c>
      <c r="C71">
        <v>10480.873626862509</v>
      </c>
    </row>
    <row r="72" spans="1:3" x14ac:dyDescent="0.2">
      <c r="A72">
        <v>46</v>
      </c>
      <c r="B72">
        <v>-7311.2233510043689</v>
      </c>
      <c r="C72">
        <v>-69899.806648995625</v>
      </c>
    </row>
    <row r="73" spans="1:3" x14ac:dyDescent="0.2">
      <c r="A73">
        <v>47</v>
      </c>
      <c r="B73">
        <v>22777.509345644608</v>
      </c>
      <c r="C73">
        <v>-47078.139345644609</v>
      </c>
    </row>
    <row r="74" spans="1:3" x14ac:dyDescent="0.2">
      <c r="A74">
        <v>48</v>
      </c>
      <c r="B74">
        <v>-16272.097949188124</v>
      </c>
      <c r="C74">
        <v>49253.457949188123</v>
      </c>
    </row>
    <row r="75" spans="1:3" x14ac:dyDescent="0.2">
      <c r="A75">
        <v>49</v>
      </c>
      <c r="B75">
        <v>15495.838722660834</v>
      </c>
      <c r="C75">
        <v>-35685.768722660832</v>
      </c>
    </row>
    <row r="76" spans="1:3" x14ac:dyDescent="0.2">
      <c r="A76">
        <v>50</v>
      </c>
      <c r="B76">
        <v>23039.800299790721</v>
      </c>
      <c r="C76">
        <v>7909.9097002092785</v>
      </c>
    </row>
    <row r="77" spans="1:3" x14ac:dyDescent="0.2">
      <c r="A77">
        <v>51</v>
      </c>
      <c r="B77">
        <v>7256.5466590637589</v>
      </c>
      <c r="C77">
        <v>-14819.626659063759</v>
      </c>
    </row>
    <row r="78" spans="1:3" x14ac:dyDescent="0.2">
      <c r="A78">
        <v>52</v>
      </c>
      <c r="B78">
        <v>24084.446185481615</v>
      </c>
      <c r="C78">
        <v>-29622.136185481613</v>
      </c>
    </row>
    <row r="79" spans="1:3" x14ac:dyDescent="0.2">
      <c r="A79">
        <v>53</v>
      </c>
      <c r="B79">
        <v>-8490.7487542087729</v>
      </c>
      <c r="C79">
        <v>-12014.251245791227</v>
      </c>
    </row>
    <row r="80" spans="1:3" x14ac:dyDescent="0.2">
      <c r="A80">
        <v>54</v>
      </c>
      <c r="B80">
        <v>-3662.548076181155</v>
      </c>
      <c r="C80">
        <v>-8876.1819238188436</v>
      </c>
    </row>
    <row r="81" spans="1:3" x14ac:dyDescent="0.2">
      <c r="A81">
        <v>55</v>
      </c>
      <c r="B81">
        <v>2386.7679955443077</v>
      </c>
      <c r="C81">
        <v>33211.12200445569</v>
      </c>
    </row>
    <row r="82" spans="1:3" x14ac:dyDescent="0.2">
      <c r="A82">
        <v>56</v>
      </c>
      <c r="B82">
        <v>19193.372013709402</v>
      </c>
      <c r="C82">
        <v>-16356.902013709403</v>
      </c>
    </row>
    <row r="83" spans="1:3" x14ac:dyDescent="0.2">
      <c r="A83">
        <v>57</v>
      </c>
      <c r="B83">
        <v>14255.161971595684</v>
      </c>
      <c r="C83">
        <v>-52823.631971595685</v>
      </c>
    </row>
    <row r="84" spans="1:3" x14ac:dyDescent="0.2">
      <c r="A84">
        <v>58</v>
      </c>
      <c r="B84">
        <v>4190.9322867864876</v>
      </c>
      <c r="C84">
        <v>-33431.192286786485</v>
      </c>
    </row>
    <row r="85" spans="1:3" x14ac:dyDescent="0.2">
      <c r="A85">
        <v>59</v>
      </c>
      <c r="B85">
        <v>-11960.026494436657</v>
      </c>
      <c r="C85">
        <v>49764.486494436656</v>
      </c>
    </row>
    <row r="86" spans="1:3" ht="17" thickBot="1" x14ac:dyDescent="0.25">
      <c r="A86" s="14">
        <v>60</v>
      </c>
      <c r="B86" s="14">
        <v>-16938.126066488931</v>
      </c>
      <c r="C86" s="14">
        <v>-55793.923933511076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F76B1-A178-BB4E-96D9-983DC4F416F8}">
  <dimension ref="A1:I86"/>
  <sheetViews>
    <sheetView workbookViewId="0">
      <selection activeCell="E19" sqref="E19"/>
    </sheetView>
  </sheetViews>
  <sheetFormatPr baseColWidth="10" defaultRowHeight="16" x14ac:dyDescent="0.2"/>
  <cols>
    <col min="2" max="2" width="12.83203125" bestFit="1" customWidth="1"/>
    <col min="3" max="3" width="13.5" bestFit="1" customWidth="1"/>
  </cols>
  <sheetData>
    <row r="1" spans="1:9" x14ac:dyDescent="0.2">
      <c r="A1" t="s">
        <v>3</v>
      </c>
    </row>
    <row r="2" spans="1:9" ht="17" thickBot="1" x14ac:dyDescent="0.25"/>
    <row r="3" spans="1:9" x14ac:dyDescent="0.2">
      <c r="A3" s="16" t="s">
        <v>4</v>
      </c>
      <c r="B3" s="16"/>
    </row>
    <row r="4" spans="1:9" x14ac:dyDescent="0.2">
      <c r="A4" t="s">
        <v>5</v>
      </c>
      <c r="B4">
        <v>0.38857471669232613</v>
      </c>
    </row>
    <row r="5" spans="1:9" x14ac:dyDescent="0.2">
      <c r="A5" t="s">
        <v>6</v>
      </c>
      <c r="B5">
        <v>0.15099031045252151</v>
      </c>
    </row>
    <row r="6" spans="1:9" x14ac:dyDescent="0.2">
      <c r="A6" t="s">
        <v>7</v>
      </c>
      <c r="B6">
        <v>0.10550764851247803</v>
      </c>
    </row>
    <row r="7" spans="1:9" x14ac:dyDescent="0.2">
      <c r="A7" t="s">
        <v>8</v>
      </c>
      <c r="B7">
        <v>35136.585828885691</v>
      </c>
    </row>
    <row r="8" spans="1:9" ht="17" thickBot="1" x14ac:dyDescent="0.25">
      <c r="A8" s="14" t="s">
        <v>9</v>
      </c>
      <c r="B8" s="14">
        <v>60</v>
      </c>
    </row>
    <row r="10" spans="1:9" ht="17" thickBot="1" x14ac:dyDescent="0.25">
      <c r="A10" t="s">
        <v>10</v>
      </c>
    </row>
    <row r="11" spans="1:9" x14ac:dyDescent="0.2">
      <c r="A11" s="15"/>
      <c r="B11" s="15" t="s">
        <v>15</v>
      </c>
      <c r="C11" s="15" t="s">
        <v>16</v>
      </c>
      <c r="D11" s="15" t="s">
        <v>17</v>
      </c>
      <c r="E11" s="15" t="s">
        <v>18</v>
      </c>
      <c r="F11" s="15" t="s">
        <v>19</v>
      </c>
    </row>
    <row r="12" spans="1:9" x14ac:dyDescent="0.2">
      <c r="A12" t="s">
        <v>11</v>
      </c>
      <c r="B12">
        <v>3</v>
      </c>
      <c r="C12">
        <v>12295425910.719849</v>
      </c>
      <c r="D12">
        <v>4098475303.5732827</v>
      </c>
      <c r="E12">
        <v>3.3197333667840532</v>
      </c>
      <c r="F12">
        <v>2.6187282057817739E-2</v>
      </c>
    </row>
    <row r="13" spans="1:9" x14ac:dyDescent="0.2">
      <c r="A13" t="s">
        <v>12</v>
      </c>
      <c r="B13">
        <v>56</v>
      </c>
      <c r="C13">
        <v>69136461167.796432</v>
      </c>
      <c r="D13">
        <v>1234579663.7106507</v>
      </c>
    </row>
    <row r="14" spans="1:9" ht="17" thickBot="1" x14ac:dyDescent="0.25">
      <c r="A14" s="14" t="s">
        <v>13</v>
      </c>
      <c r="B14" s="14">
        <v>59</v>
      </c>
      <c r="C14" s="14">
        <v>81431887078.516281</v>
      </c>
      <c r="D14" s="14"/>
      <c r="E14" s="14"/>
      <c r="F14" s="14"/>
    </row>
    <row r="15" spans="1:9" ht="17" thickBot="1" x14ac:dyDescent="0.25"/>
    <row r="16" spans="1:9" x14ac:dyDescent="0.2">
      <c r="A16" s="15"/>
      <c r="B16" s="15" t="s">
        <v>20</v>
      </c>
      <c r="C16" s="15" t="s">
        <v>8</v>
      </c>
      <c r="D16" s="15" t="s">
        <v>21</v>
      </c>
      <c r="E16" s="15" t="s">
        <v>22</v>
      </c>
      <c r="F16" s="15" t="s">
        <v>23</v>
      </c>
      <c r="G16" s="15" t="s">
        <v>24</v>
      </c>
      <c r="H16" s="15" t="s">
        <v>25</v>
      </c>
      <c r="I16" s="15" t="s">
        <v>26</v>
      </c>
    </row>
    <row r="17" spans="1:9" x14ac:dyDescent="0.2">
      <c r="A17" t="s">
        <v>14</v>
      </c>
      <c r="B17">
        <v>28215.246639420493</v>
      </c>
      <c r="C17">
        <v>18442.014554936952</v>
      </c>
      <c r="D17">
        <v>1.5299438440073909</v>
      </c>
      <c r="E17">
        <v>0.13166031250215837</v>
      </c>
      <c r="F17">
        <v>-8728.5478546143368</v>
      </c>
      <c r="G17">
        <v>65159.041133455321</v>
      </c>
      <c r="H17">
        <v>-8728.5478546143368</v>
      </c>
      <c r="I17">
        <v>65159.041133455321</v>
      </c>
    </row>
    <row r="18" spans="1:9" x14ac:dyDescent="0.2">
      <c r="A18" t="s">
        <v>30</v>
      </c>
      <c r="B18">
        <v>-0.13867832576911809</v>
      </c>
      <c r="C18">
        <v>0.15390407868438094</v>
      </c>
      <c r="D18">
        <v>-0.90106985438321563</v>
      </c>
      <c r="E18">
        <v>0.37141018983903573</v>
      </c>
      <c r="F18">
        <v>-0.44698524298643694</v>
      </c>
      <c r="G18">
        <v>0.16962859144820075</v>
      </c>
      <c r="H18">
        <v>-0.44698524298643694</v>
      </c>
      <c r="I18">
        <v>0.16962859144820075</v>
      </c>
    </row>
    <row r="19" spans="1:9" x14ac:dyDescent="0.2">
      <c r="A19" t="s">
        <v>35</v>
      </c>
      <c r="B19">
        <v>347854.66610121564</v>
      </c>
      <c r="C19">
        <v>156942.12854838721</v>
      </c>
      <c r="D19">
        <v>2.2164518177410071</v>
      </c>
      <c r="E19">
        <v>3.0739692632733982E-2</v>
      </c>
      <c r="F19">
        <v>33461.803690429209</v>
      </c>
      <c r="G19">
        <v>662247.52851200209</v>
      </c>
      <c r="H19">
        <v>33461.803690429209</v>
      </c>
      <c r="I19">
        <v>662247.52851200209</v>
      </c>
    </row>
    <row r="20" spans="1:9" ht="17" thickBot="1" x14ac:dyDescent="0.25">
      <c r="A20" s="14" t="s">
        <v>38</v>
      </c>
      <c r="B20" s="14">
        <v>-1627.3215437033873</v>
      </c>
      <c r="C20" s="14">
        <v>958.48748779750338</v>
      </c>
      <c r="D20" s="14">
        <v>-1.6978015513199756</v>
      </c>
      <c r="E20" s="14">
        <v>9.5096318275446998E-2</v>
      </c>
      <c r="F20" s="14">
        <v>-3547.4027077655496</v>
      </c>
      <c r="G20" s="14">
        <v>292.75962035877495</v>
      </c>
      <c r="H20" s="14">
        <v>-3547.4027077655496</v>
      </c>
      <c r="I20" s="14">
        <v>292.75962035877495</v>
      </c>
    </row>
    <row r="24" spans="1:9" x14ac:dyDescent="0.2">
      <c r="A24" t="s">
        <v>31</v>
      </c>
    </row>
    <row r="25" spans="1:9" ht="17" thickBot="1" x14ac:dyDescent="0.25"/>
    <row r="26" spans="1:9" x14ac:dyDescent="0.2">
      <c r="A26" s="15" t="s">
        <v>32</v>
      </c>
      <c r="B26" s="15" t="s">
        <v>33</v>
      </c>
      <c r="C26" s="15" t="s">
        <v>34</v>
      </c>
    </row>
    <row r="27" spans="1:9" x14ac:dyDescent="0.2">
      <c r="A27">
        <v>1</v>
      </c>
      <c r="B27">
        <v>-1854.2757300721466</v>
      </c>
      <c r="C27">
        <v>-6981.6242699278528</v>
      </c>
    </row>
    <row r="28" spans="1:9" x14ac:dyDescent="0.2">
      <c r="A28">
        <v>2</v>
      </c>
      <c r="B28">
        <v>-2270.0636012511764</v>
      </c>
      <c r="C28">
        <v>312.2636012511764</v>
      </c>
    </row>
    <row r="29" spans="1:9" x14ac:dyDescent="0.2">
      <c r="A29">
        <v>3</v>
      </c>
      <c r="B29">
        <v>23823.395289721517</v>
      </c>
      <c r="C29">
        <v>-10849.425289721517</v>
      </c>
    </row>
    <row r="30" spans="1:9" x14ac:dyDescent="0.2">
      <c r="A30">
        <v>4</v>
      </c>
      <c r="B30">
        <v>3751.4446927179279</v>
      </c>
      <c r="C30">
        <v>-11161.434692717929</v>
      </c>
    </row>
    <row r="31" spans="1:9" x14ac:dyDescent="0.2">
      <c r="A31">
        <v>5</v>
      </c>
      <c r="B31">
        <v>464.92882129978017</v>
      </c>
      <c r="C31">
        <v>16091.021178700221</v>
      </c>
    </row>
    <row r="32" spans="1:9" x14ac:dyDescent="0.2">
      <c r="A32">
        <v>6</v>
      </c>
      <c r="B32">
        <v>29329.606655867079</v>
      </c>
      <c r="C32">
        <v>-1573.89665586708</v>
      </c>
    </row>
    <row r="33" spans="1:3" x14ac:dyDescent="0.2">
      <c r="A33">
        <v>7</v>
      </c>
      <c r="B33">
        <v>-3411.0167579345375</v>
      </c>
      <c r="C33">
        <v>-9025.9032420654621</v>
      </c>
    </row>
    <row r="34" spans="1:3" x14ac:dyDescent="0.2">
      <c r="A34">
        <v>8</v>
      </c>
      <c r="B34">
        <v>4523.2935804315166</v>
      </c>
      <c r="C34">
        <v>-7044.0535804315168</v>
      </c>
    </row>
    <row r="35" spans="1:3" x14ac:dyDescent="0.2">
      <c r="A35">
        <v>9</v>
      </c>
      <c r="B35">
        <v>-29248.383335356259</v>
      </c>
      <c r="C35">
        <v>-453.80666464374008</v>
      </c>
    </row>
    <row r="36" spans="1:3" x14ac:dyDescent="0.2">
      <c r="A36">
        <v>10</v>
      </c>
      <c r="B36">
        <v>11895.051358730911</v>
      </c>
      <c r="C36">
        <v>-40421.351358730913</v>
      </c>
    </row>
    <row r="37" spans="1:3" x14ac:dyDescent="0.2">
      <c r="A37">
        <v>11</v>
      </c>
      <c r="B37">
        <v>-8578.5443609761314</v>
      </c>
      <c r="C37">
        <v>-29489.475639023865</v>
      </c>
    </row>
    <row r="38" spans="1:3" x14ac:dyDescent="0.2">
      <c r="A38">
        <v>12</v>
      </c>
      <c r="B38">
        <v>-26526.710606479621</v>
      </c>
      <c r="C38">
        <v>-23540.869393520381</v>
      </c>
    </row>
    <row r="39" spans="1:3" x14ac:dyDescent="0.2">
      <c r="A39">
        <v>13</v>
      </c>
      <c r="B39">
        <v>15580.205048028733</v>
      </c>
      <c r="C39">
        <v>-38268.575048028732</v>
      </c>
    </row>
    <row r="40" spans="1:3" x14ac:dyDescent="0.2">
      <c r="A40">
        <v>14</v>
      </c>
      <c r="B40">
        <v>-30191.499342537518</v>
      </c>
      <c r="C40">
        <v>-6326.3606574624828</v>
      </c>
    </row>
    <row r="41" spans="1:3" x14ac:dyDescent="0.2">
      <c r="A41">
        <v>15</v>
      </c>
      <c r="B41">
        <v>-19880.065287567006</v>
      </c>
      <c r="C41">
        <v>-31541.964712432993</v>
      </c>
    </row>
    <row r="42" spans="1:3" x14ac:dyDescent="0.2">
      <c r="A42">
        <v>16</v>
      </c>
      <c r="B42">
        <v>-28244.985158163352</v>
      </c>
      <c r="C42">
        <v>30216.31515816335</v>
      </c>
    </row>
    <row r="43" spans="1:3" x14ac:dyDescent="0.2">
      <c r="A43">
        <v>17</v>
      </c>
      <c r="B43">
        <v>23598.809718924931</v>
      </c>
      <c r="C43">
        <v>32922.290281075067</v>
      </c>
    </row>
    <row r="44" spans="1:3" x14ac:dyDescent="0.2">
      <c r="A44">
        <v>18</v>
      </c>
      <c r="B44">
        <v>-9546.8999012724926</v>
      </c>
      <c r="C44">
        <v>5591.5899012724931</v>
      </c>
    </row>
    <row r="45" spans="1:3" x14ac:dyDescent="0.2">
      <c r="A45">
        <v>19</v>
      </c>
      <c r="B45">
        <v>-35701.909315968231</v>
      </c>
      <c r="C45">
        <v>32621.789315968232</v>
      </c>
    </row>
    <row r="46" spans="1:3" x14ac:dyDescent="0.2">
      <c r="A46">
        <v>20</v>
      </c>
      <c r="B46">
        <v>5207.1065427800831</v>
      </c>
      <c r="C46">
        <v>28640.15345721992</v>
      </c>
    </row>
    <row r="47" spans="1:3" x14ac:dyDescent="0.2">
      <c r="A47">
        <v>21</v>
      </c>
      <c r="B47">
        <v>4448.5443133601066</v>
      </c>
      <c r="C47">
        <v>4722.1356866398937</v>
      </c>
    </row>
    <row r="48" spans="1:3" x14ac:dyDescent="0.2">
      <c r="A48">
        <v>22</v>
      </c>
      <c r="B48">
        <v>-20425.928141518551</v>
      </c>
      <c r="C48">
        <v>-6117.8218584814495</v>
      </c>
    </row>
    <row r="49" spans="1:3" x14ac:dyDescent="0.2">
      <c r="A49">
        <v>23</v>
      </c>
      <c r="B49">
        <v>-6568.8662745675865</v>
      </c>
      <c r="C49">
        <v>2429.7462745675866</v>
      </c>
    </row>
    <row r="50" spans="1:3" x14ac:dyDescent="0.2">
      <c r="A50">
        <v>24</v>
      </c>
      <c r="B50">
        <v>-9870.6248087295335</v>
      </c>
      <c r="C50">
        <v>15769.834808729534</v>
      </c>
    </row>
    <row r="51" spans="1:3" x14ac:dyDescent="0.2">
      <c r="A51">
        <v>25</v>
      </c>
      <c r="B51">
        <v>-4042.5373256868124</v>
      </c>
      <c r="C51">
        <v>17587.327325686812</v>
      </c>
    </row>
    <row r="52" spans="1:3" x14ac:dyDescent="0.2">
      <c r="A52">
        <v>26</v>
      </c>
      <c r="B52">
        <v>14780.643323396103</v>
      </c>
      <c r="C52">
        <v>33548.906676603903</v>
      </c>
    </row>
    <row r="53" spans="1:3" x14ac:dyDescent="0.2">
      <c r="A53">
        <v>27</v>
      </c>
      <c r="B53">
        <v>1363.058384838449</v>
      </c>
      <c r="C53">
        <v>54894.641615161549</v>
      </c>
    </row>
    <row r="54" spans="1:3" x14ac:dyDescent="0.2">
      <c r="A54">
        <v>28</v>
      </c>
      <c r="B54">
        <v>10577.492926243058</v>
      </c>
      <c r="C54">
        <v>37399.587073756942</v>
      </c>
    </row>
    <row r="55" spans="1:3" x14ac:dyDescent="0.2">
      <c r="A55">
        <v>29</v>
      </c>
      <c r="B55">
        <v>10096.596515539042</v>
      </c>
      <c r="C55">
        <v>8241.2234844609575</v>
      </c>
    </row>
    <row r="56" spans="1:3" x14ac:dyDescent="0.2">
      <c r="A56">
        <v>30</v>
      </c>
      <c r="B56">
        <v>-5211.2879368506783</v>
      </c>
      <c r="C56">
        <v>-8599.1020631493211</v>
      </c>
    </row>
    <row r="57" spans="1:3" x14ac:dyDescent="0.2">
      <c r="A57">
        <v>31</v>
      </c>
      <c r="B57">
        <v>8576.8682791800293</v>
      </c>
      <c r="C57">
        <v>-26452.32827918003</v>
      </c>
    </row>
    <row r="58" spans="1:3" x14ac:dyDescent="0.2">
      <c r="A58">
        <v>32</v>
      </c>
      <c r="B58">
        <v>-8704.4998154806417</v>
      </c>
      <c r="C58">
        <v>33250.909815480642</v>
      </c>
    </row>
    <row r="59" spans="1:3" x14ac:dyDescent="0.2">
      <c r="A59">
        <v>33</v>
      </c>
      <c r="B59">
        <v>22987.774821117499</v>
      </c>
      <c r="C59">
        <v>61549.655178882495</v>
      </c>
    </row>
    <row r="60" spans="1:3" x14ac:dyDescent="0.2">
      <c r="A60">
        <v>34</v>
      </c>
      <c r="B60">
        <v>23851.244651525823</v>
      </c>
      <c r="C60">
        <v>-30444.584651525824</v>
      </c>
    </row>
    <row r="61" spans="1:3" x14ac:dyDescent="0.2">
      <c r="A61">
        <v>35</v>
      </c>
      <c r="B61">
        <v>5673.179439873079</v>
      </c>
      <c r="C61">
        <v>26143.650560126924</v>
      </c>
    </row>
    <row r="62" spans="1:3" x14ac:dyDescent="0.2">
      <c r="A62">
        <v>36</v>
      </c>
      <c r="B62">
        <v>6101.5182981087955</v>
      </c>
      <c r="C62">
        <v>45894.681701891204</v>
      </c>
    </row>
    <row r="63" spans="1:3" x14ac:dyDescent="0.2">
      <c r="A63">
        <v>37</v>
      </c>
      <c r="B63">
        <v>5294.365651272291</v>
      </c>
      <c r="C63">
        <v>-21554.385651272292</v>
      </c>
    </row>
    <row r="64" spans="1:3" x14ac:dyDescent="0.2">
      <c r="A64">
        <v>38</v>
      </c>
      <c r="B64">
        <v>9315.9746906899345</v>
      </c>
      <c r="C64">
        <v>-22226.834690689935</v>
      </c>
    </row>
    <row r="65" spans="1:3" x14ac:dyDescent="0.2">
      <c r="A65">
        <v>39</v>
      </c>
      <c r="B65">
        <v>7832.7883456781956</v>
      </c>
      <c r="C65">
        <v>33924.651654321809</v>
      </c>
    </row>
    <row r="66" spans="1:3" x14ac:dyDescent="0.2">
      <c r="A66">
        <v>40</v>
      </c>
      <c r="B66">
        <v>25034.566330995818</v>
      </c>
      <c r="C66">
        <v>23761.473669004183</v>
      </c>
    </row>
    <row r="67" spans="1:3" x14ac:dyDescent="0.2">
      <c r="A67">
        <v>41</v>
      </c>
      <c r="B67">
        <v>8461.2159642378119</v>
      </c>
      <c r="C67">
        <v>17032.074035762191</v>
      </c>
    </row>
    <row r="68" spans="1:3" x14ac:dyDescent="0.2">
      <c r="A68">
        <v>42</v>
      </c>
      <c r="B68">
        <v>4235.5999018769398</v>
      </c>
      <c r="C68">
        <v>89302.030098123068</v>
      </c>
    </row>
    <row r="69" spans="1:3" x14ac:dyDescent="0.2">
      <c r="A69">
        <v>43</v>
      </c>
      <c r="B69">
        <v>-4847.785880855351</v>
      </c>
      <c r="C69">
        <v>-91509.844119144647</v>
      </c>
    </row>
    <row r="70" spans="1:3" x14ac:dyDescent="0.2">
      <c r="A70">
        <v>44</v>
      </c>
      <c r="B70">
        <v>-9578.2115913744201</v>
      </c>
      <c r="C70">
        <v>-11865.78840862558</v>
      </c>
    </row>
    <row r="71" spans="1:3" x14ac:dyDescent="0.2">
      <c r="A71">
        <v>45</v>
      </c>
      <c r="B71">
        <v>8890.4422624075232</v>
      </c>
      <c r="C71">
        <v>17047.897737592477</v>
      </c>
    </row>
    <row r="72" spans="1:3" x14ac:dyDescent="0.2">
      <c r="A72">
        <v>46</v>
      </c>
      <c r="B72">
        <v>-2668.6563993613818</v>
      </c>
      <c r="C72">
        <v>-74542.373600638617</v>
      </c>
    </row>
    <row r="73" spans="1:3" x14ac:dyDescent="0.2">
      <c r="A73">
        <v>47</v>
      </c>
      <c r="B73">
        <v>13113.744978399072</v>
      </c>
      <c r="C73">
        <v>-37414.374978399072</v>
      </c>
    </row>
    <row r="74" spans="1:3" x14ac:dyDescent="0.2">
      <c r="A74">
        <v>48</v>
      </c>
      <c r="B74">
        <v>-10709.531196031694</v>
      </c>
      <c r="C74">
        <v>43690.891196031691</v>
      </c>
    </row>
    <row r="75" spans="1:3" x14ac:dyDescent="0.2">
      <c r="A75">
        <v>49</v>
      </c>
      <c r="B75">
        <v>19430.184653996821</v>
      </c>
      <c r="C75">
        <v>-39620.114653996818</v>
      </c>
    </row>
    <row r="76" spans="1:3" x14ac:dyDescent="0.2">
      <c r="A76">
        <v>50</v>
      </c>
      <c r="B76">
        <v>13392.447421577817</v>
      </c>
      <c r="C76">
        <v>17557.262578422182</v>
      </c>
    </row>
    <row r="77" spans="1:3" x14ac:dyDescent="0.2">
      <c r="A77">
        <v>51</v>
      </c>
      <c r="B77">
        <v>2239.5876518280311</v>
      </c>
      <c r="C77">
        <v>-9802.667651828031</v>
      </c>
    </row>
    <row r="78" spans="1:3" x14ac:dyDescent="0.2">
      <c r="A78">
        <v>52</v>
      </c>
      <c r="B78">
        <v>15263.469450013488</v>
      </c>
      <c r="C78">
        <v>-20801.159450013489</v>
      </c>
    </row>
    <row r="79" spans="1:3" x14ac:dyDescent="0.2">
      <c r="A79">
        <v>53</v>
      </c>
      <c r="B79">
        <v>-4186.7176966085653</v>
      </c>
      <c r="C79">
        <v>-16318.282303391436</v>
      </c>
    </row>
    <row r="80" spans="1:3" x14ac:dyDescent="0.2">
      <c r="A80">
        <v>54</v>
      </c>
      <c r="B80">
        <v>432.858418546726</v>
      </c>
      <c r="C80">
        <v>-12971.588418546726</v>
      </c>
    </row>
    <row r="81" spans="1:3" x14ac:dyDescent="0.2">
      <c r="A81">
        <v>55</v>
      </c>
      <c r="B81">
        <v>3417.6778711229585</v>
      </c>
      <c r="C81">
        <v>32180.21212887704</v>
      </c>
    </row>
    <row r="82" spans="1:3" x14ac:dyDescent="0.2">
      <c r="A82">
        <v>56</v>
      </c>
      <c r="B82">
        <v>8454.557350033574</v>
      </c>
      <c r="C82">
        <v>-5618.0873500335747</v>
      </c>
    </row>
    <row r="83" spans="1:3" x14ac:dyDescent="0.2">
      <c r="A83">
        <v>57</v>
      </c>
      <c r="B83">
        <v>9542.6648742163106</v>
      </c>
      <c r="C83">
        <v>-48111.13487421631</v>
      </c>
    </row>
    <row r="84" spans="1:3" x14ac:dyDescent="0.2">
      <c r="A84">
        <v>58</v>
      </c>
      <c r="B84">
        <v>8678.8329423693631</v>
      </c>
      <c r="C84">
        <v>-37919.09294236936</v>
      </c>
    </row>
    <row r="85" spans="1:3" x14ac:dyDescent="0.2">
      <c r="A85">
        <v>59</v>
      </c>
      <c r="B85">
        <v>-8697.2333425406068</v>
      </c>
      <c r="C85">
        <v>46501.693342540602</v>
      </c>
    </row>
    <row r="86" spans="1:3" ht="17" thickBot="1" x14ac:dyDescent="0.25">
      <c r="A86" s="14">
        <v>60</v>
      </c>
      <c r="B86" s="14">
        <v>-2474.4476137621878</v>
      </c>
      <c r="C86" s="14">
        <v>-70257.602386237821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C3B0C-1B6E-4C40-81F1-EA39C8CF6A9E}">
  <dimension ref="A1"/>
  <sheetViews>
    <sheetView zoomScale="50" workbookViewId="0">
      <selection activeCell="AL30" sqref="AL30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Regression_Data</vt:lpstr>
      <vt:lpstr>Regression_Data (2)</vt:lpstr>
      <vt:lpstr>Regression_Data (3)</vt:lpstr>
      <vt:lpstr>Regression_Data (4)</vt:lpstr>
      <vt:lpstr>Robustness_Check</vt:lpstr>
      <vt:lpstr>FPI_LaggedReturns</vt:lpstr>
      <vt:lpstr>FPI_LaggedReturns_VIX</vt:lpstr>
      <vt:lpstr>FPI_LaggedReturns_VIX_LaggedFPI</vt:lpstr>
      <vt:lpstr>Sheet4</vt:lpstr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Veer Thakkar</dc:creator>
  <cp:lastModifiedBy>Veer Thakkar</cp:lastModifiedBy>
  <dcterms:created xsi:type="dcterms:W3CDTF">2026-03-17T08:02:16Z</dcterms:created>
  <dcterms:modified xsi:type="dcterms:W3CDTF">2026-08-27T08:32:53Z</dcterms:modified>
</cp:coreProperties>
</file>